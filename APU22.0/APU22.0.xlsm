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q\Work_At_LNLS\eclipse-workspace\insertion-devices\APU22.0\"/>
    </mc:Choice>
  </mc:AlternateContent>
  <xr:revisionPtr revIDLastSave="0" documentId="13_ncr:1_{2CE42536-411E-41E0-B99F-EB8EEDBC616E}" xr6:coauthVersionLast="45" xr6:coauthVersionMax="45" xr10:uidLastSave="{00000000-0000-0000-0000-000000000000}"/>
  <bookViews>
    <workbookView xWindow="-120" yWindow="-120" windowWidth="29040" windowHeight="15990" activeTab="2" xr2:uid="{00000000-000D-0000-FFFF-FFFF00000000}"/>
  </bookViews>
  <sheets>
    <sheet name="Beam Stay Clear" sheetId="3" r:id="rId1"/>
    <sheet name="Electron beam and constants" sheetId="7" r:id="rId2"/>
    <sheet name="Create Undulator Magnet" sheetId="1" r:id="rId3"/>
    <sheet name="Updates" sheetId="9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6" i="1" l="1"/>
  <c r="M15" i="1"/>
  <c r="M13" i="1"/>
  <c r="M12" i="1"/>
  <c r="B14" i="1" l="1"/>
  <c r="B21" i="1" l="1"/>
  <c r="I2" i="1" l="1"/>
  <c r="B19" i="7" l="1"/>
  <c r="B31" i="7" l="1"/>
  <c r="B16" i="1" l="1"/>
  <c r="B27" i="7" s="1"/>
  <c r="B29" i="7"/>
  <c r="B28" i="7"/>
  <c r="B20" i="7"/>
  <c r="J5" i="1"/>
  <c r="M10" i="1"/>
  <c r="L10" i="1"/>
  <c r="O5" i="3"/>
  <c r="O4" i="3"/>
  <c r="E5" i="3"/>
  <c r="E4" i="3"/>
  <c r="B30" i="7" l="1"/>
  <c r="B17" i="1"/>
  <c r="B32" i="7" s="1"/>
  <c r="F5" i="7"/>
  <c r="F11" i="7"/>
  <c r="F9" i="7"/>
  <c r="F7" i="7"/>
  <c r="F12" i="7"/>
  <c r="F10" i="7"/>
  <c r="F8" i="7"/>
  <c r="F6" i="7"/>
  <c r="I7" i="1"/>
  <c r="I5" i="1"/>
  <c r="J12" i="1"/>
  <c r="J8" i="1"/>
  <c r="I4" i="1"/>
  <c r="J10" i="1"/>
  <c r="J6" i="1"/>
  <c r="I6" i="1"/>
  <c r="J4" i="1"/>
  <c r="J11" i="1"/>
  <c r="J9" i="1"/>
  <c r="J7" i="1"/>
  <c r="B35" i="7" l="1"/>
  <c r="E5" i="7"/>
  <c r="B34" i="7"/>
  <c r="B19" i="1" s="1"/>
  <c r="I8" i="1"/>
  <c r="I9" i="1"/>
  <c r="H5" i="7" l="1"/>
  <c r="B20" i="1"/>
  <c r="E10" i="7"/>
  <c r="E6" i="7"/>
  <c r="E11" i="7"/>
  <c r="E7" i="7"/>
  <c r="E12" i="7"/>
  <c r="E8" i="7"/>
  <c r="B18" i="1"/>
  <c r="E9" i="7"/>
  <c r="I10" i="1"/>
  <c r="AD5" i="7" l="1"/>
  <c r="AG5" i="7"/>
  <c r="AA5" i="7"/>
  <c r="U5" i="7"/>
  <c r="O5" i="7"/>
  <c r="P5" i="7" s="1"/>
  <c r="R5" i="7"/>
  <c r="I5" i="7"/>
  <c r="J5" i="7"/>
  <c r="L5" i="7" s="1"/>
  <c r="M5" i="7" s="1"/>
  <c r="H6" i="7"/>
  <c r="I11" i="1"/>
  <c r="AF5" i="7" l="1"/>
  <c r="AC5" i="7"/>
  <c r="Z5" i="7"/>
  <c r="W5" i="7"/>
  <c r="K5" i="7"/>
  <c r="T5" i="7"/>
  <c r="Q5" i="7"/>
  <c r="N5" i="7"/>
  <c r="S5" i="7"/>
  <c r="V5" i="7"/>
  <c r="AB5" i="7"/>
  <c r="AH5" i="7"/>
  <c r="R6" i="7"/>
  <c r="S6" i="7" s="1"/>
  <c r="AE5" i="7"/>
  <c r="X5" i="7"/>
  <c r="Y5" i="7" s="1"/>
  <c r="J6" i="7"/>
  <c r="AA6" i="7" s="1"/>
  <c r="AB6" i="7" s="1"/>
  <c r="I6" i="7"/>
  <c r="H7" i="7"/>
  <c r="I12" i="1"/>
  <c r="N6" i="7" l="1"/>
  <c r="Q6" i="7"/>
  <c r="T6" i="7"/>
  <c r="W6" i="7"/>
  <c r="Z6" i="7"/>
  <c r="AC6" i="7"/>
  <c r="K6" i="7"/>
  <c r="AF6" i="7"/>
  <c r="AD6" i="7"/>
  <c r="AE6" i="7" s="1"/>
  <c r="L6" i="7"/>
  <c r="M6" i="7" s="1"/>
  <c r="O6" i="7"/>
  <c r="P6" i="7" s="1"/>
  <c r="AG6" i="7"/>
  <c r="AH6" i="7" s="1"/>
  <c r="X6" i="7"/>
  <c r="Y6" i="7" s="1"/>
  <c r="U6" i="7"/>
  <c r="V6" i="7" s="1"/>
  <c r="AD7" i="7"/>
  <c r="AE7" i="7" s="1"/>
  <c r="O7" i="7"/>
  <c r="P7" i="7" s="1"/>
  <c r="AA7" i="7"/>
  <c r="AB7" i="7" s="1"/>
  <c r="U7" i="7"/>
  <c r="V7" i="7" s="1"/>
  <c r="R7" i="7"/>
  <c r="S7" i="7" s="1"/>
  <c r="J7" i="7"/>
  <c r="X7" i="7" s="1"/>
  <c r="Y7" i="7" s="1"/>
  <c r="I7" i="7"/>
  <c r="H8" i="7"/>
  <c r="U8" i="7" l="1"/>
  <c r="V8" i="7" s="1"/>
  <c r="AA8" i="7"/>
  <c r="AB8" i="7" s="1"/>
  <c r="AG7" i="7"/>
  <c r="AH7" i="7" s="1"/>
  <c r="Q7" i="7"/>
  <c r="T7" i="7"/>
  <c r="W7" i="7"/>
  <c r="Z7" i="7"/>
  <c r="AC7" i="7"/>
  <c r="AF7" i="7"/>
  <c r="K7" i="7"/>
  <c r="N7" i="7"/>
  <c r="L7" i="7"/>
  <c r="M7" i="7" s="1"/>
  <c r="J8" i="7"/>
  <c r="AG8" i="7" s="1"/>
  <c r="AH8" i="7" s="1"/>
  <c r="I8" i="7"/>
  <c r="H9" i="7"/>
  <c r="AD8" i="7" l="1"/>
  <c r="AE8" i="7" s="1"/>
  <c r="O8" i="7"/>
  <c r="P8" i="7" s="1"/>
  <c r="R8" i="7"/>
  <c r="S8" i="7" s="1"/>
  <c r="R9" i="7"/>
  <c r="S9" i="7" s="1"/>
  <c r="AG9" i="7"/>
  <c r="AH9" i="7" s="1"/>
  <c r="U9" i="7"/>
  <c r="V9" i="7" s="1"/>
  <c r="T8" i="7"/>
  <c r="W8" i="7"/>
  <c r="K8" i="7"/>
  <c r="Z8" i="7"/>
  <c r="AC8" i="7"/>
  <c r="AF8" i="7"/>
  <c r="Q8" i="7"/>
  <c r="N8" i="7"/>
  <c r="X8" i="7"/>
  <c r="Y8" i="7" s="1"/>
  <c r="L8" i="7"/>
  <c r="M8" i="7" s="1"/>
  <c r="J9" i="7"/>
  <c r="O9" i="7" s="1"/>
  <c r="P9" i="7" s="1"/>
  <c r="I9" i="7"/>
  <c r="H10" i="7"/>
  <c r="AD9" i="7" l="1"/>
  <c r="AE9" i="7" s="1"/>
  <c r="X9" i="7"/>
  <c r="Y9" i="7" s="1"/>
  <c r="W9" i="7"/>
  <c r="K9" i="7"/>
  <c r="T9" i="7"/>
  <c r="Z9" i="7"/>
  <c r="AC9" i="7"/>
  <c r="AF9" i="7"/>
  <c r="N9" i="7"/>
  <c r="Q9" i="7"/>
  <c r="L9" i="7"/>
  <c r="M9" i="7" s="1"/>
  <c r="AA9" i="7"/>
  <c r="AB9" i="7" s="1"/>
  <c r="J10" i="7"/>
  <c r="X10" i="7" s="1"/>
  <c r="Y10" i="7" s="1"/>
  <c r="I10" i="7"/>
  <c r="H11" i="7"/>
  <c r="AD10" i="7" l="1"/>
  <c r="AE10" i="7" s="1"/>
  <c r="AA10" i="7"/>
  <c r="AB10" i="7" s="1"/>
  <c r="R10" i="7"/>
  <c r="S10" i="7" s="1"/>
  <c r="L11" i="7"/>
  <c r="M11" i="7" s="1"/>
  <c r="AG11" i="7"/>
  <c r="AH11" i="7" s="1"/>
  <c r="O11" i="7"/>
  <c r="P11" i="7" s="1"/>
  <c r="X11" i="7"/>
  <c r="Y11" i="7" s="1"/>
  <c r="Z10" i="7"/>
  <c r="AC10" i="7"/>
  <c r="K10" i="7"/>
  <c r="AF10" i="7"/>
  <c r="W10" i="7"/>
  <c r="N10" i="7"/>
  <c r="Q10" i="7"/>
  <c r="T10" i="7"/>
  <c r="L10" i="7"/>
  <c r="M10" i="7" s="1"/>
  <c r="AG10" i="7"/>
  <c r="AH10" i="7" s="1"/>
  <c r="O10" i="7"/>
  <c r="P10" i="7" s="1"/>
  <c r="U10" i="7"/>
  <c r="V10" i="7" s="1"/>
  <c r="J11" i="7"/>
  <c r="R11" i="7" s="1"/>
  <c r="S11" i="7" s="1"/>
  <c r="I11" i="7"/>
  <c r="H12" i="7"/>
  <c r="AD11" i="7" l="1"/>
  <c r="AE11" i="7" s="1"/>
  <c r="AA11" i="7"/>
  <c r="AB11" i="7" s="1"/>
  <c r="U11" i="7"/>
  <c r="V11" i="7" s="1"/>
  <c r="AG12" i="7"/>
  <c r="AH12" i="7" s="1"/>
  <c r="AD12" i="7"/>
  <c r="AE12" i="7" s="1"/>
  <c r="U12" i="7"/>
  <c r="V12" i="7" s="1"/>
  <c r="AC11" i="7"/>
  <c r="AF11" i="7"/>
  <c r="Z11" i="7"/>
  <c r="K11" i="7"/>
  <c r="N11" i="7"/>
  <c r="Q11" i="7"/>
  <c r="T11" i="7"/>
  <c r="W11" i="7"/>
  <c r="J12" i="7"/>
  <c r="AA12" i="7" s="1"/>
  <c r="AB12" i="7" s="1"/>
  <c r="I12" i="7"/>
  <c r="H13" i="7"/>
  <c r="L12" i="7" l="1"/>
  <c r="M12" i="7" s="1"/>
  <c r="O12" i="7"/>
  <c r="P12" i="7" s="1"/>
  <c r="X12" i="7"/>
  <c r="Y12" i="7" s="1"/>
  <c r="AF12" i="7"/>
  <c r="N12" i="7"/>
  <c r="AC12" i="7"/>
  <c r="Q12" i="7"/>
  <c r="K12" i="7"/>
  <c r="T12" i="7"/>
  <c r="W12" i="7"/>
  <c r="Z12" i="7"/>
  <c r="R12" i="7"/>
  <c r="S12" i="7" s="1"/>
  <c r="J13" i="7"/>
  <c r="AD13" i="7" s="1"/>
  <c r="AE13" i="7" s="1"/>
  <c r="I13" i="7"/>
  <c r="H14" i="7"/>
  <c r="X13" i="7" l="1"/>
  <c r="Y13" i="7" s="1"/>
  <c r="R13" i="7"/>
  <c r="S13" i="7" s="1"/>
  <c r="U13" i="7"/>
  <c r="V13" i="7" s="1"/>
  <c r="AA13" i="7"/>
  <c r="AB13" i="7" s="1"/>
  <c r="O14" i="7"/>
  <c r="P14" i="7" s="1"/>
  <c r="L14" i="7"/>
  <c r="M14" i="7" s="1"/>
  <c r="R14" i="7"/>
  <c r="S14" i="7" s="1"/>
  <c r="U14" i="7"/>
  <c r="V14" i="7" s="1"/>
  <c r="O13" i="7"/>
  <c r="P13" i="7" s="1"/>
  <c r="K13" i="7"/>
  <c r="N13" i="7"/>
  <c r="Q13" i="7"/>
  <c r="T13" i="7"/>
  <c r="W13" i="7"/>
  <c r="AF13" i="7"/>
  <c r="Z13" i="7"/>
  <c r="AC13" i="7"/>
  <c r="AG13" i="7"/>
  <c r="AH13" i="7" s="1"/>
  <c r="L13" i="7"/>
  <c r="M13" i="7" s="1"/>
  <c r="J14" i="7"/>
  <c r="AA14" i="7" s="1"/>
  <c r="AB14" i="7" s="1"/>
  <c r="I14" i="7"/>
  <c r="H15" i="7"/>
  <c r="AD15" i="7" l="1"/>
  <c r="AE15" i="7" s="1"/>
  <c r="AG15" i="7"/>
  <c r="AH15" i="7" s="1"/>
  <c r="AA15" i="7"/>
  <c r="AB15" i="7" s="1"/>
  <c r="N14" i="7"/>
  <c r="Q14" i="7"/>
  <c r="T14" i="7"/>
  <c r="W14" i="7"/>
  <c r="Z14" i="7"/>
  <c r="AC14" i="7"/>
  <c r="K14" i="7"/>
  <c r="AF14" i="7"/>
  <c r="X14" i="7"/>
  <c r="Y14" i="7" s="1"/>
  <c r="AG14" i="7"/>
  <c r="AH14" i="7" s="1"/>
  <c r="AD14" i="7"/>
  <c r="AE14" i="7" s="1"/>
  <c r="J15" i="7"/>
  <c r="L15" i="7" s="1"/>
  <c r="M15" i="7" s="1"/>
  <c r="I15" i="7"/>
  <c r="H16" i="7"/>
  <c r="Q15" i="7" l="1"/>
  <c r="T15" i="7"/>
  <c r="W15" i="7"/>
  <c r="Z15" i="7"/>
  <c r="AC15" i="7"/>
  <c r="AF15" i="7"/>
  <c r="N15" i="7"/>
  <c r="K15" i="7"/>
  <c r="R15" i="7"/>
  <c r="S15" i="7" s="1"/>
  <c r="X15" i="7"/>
  <c r="Y15" i="7" s="1"/>
  <c r="U15" i="7"/>
  <c r="V15" i="7" s="1"/>
  <c r="O15" i="7"/>
  <c r="P15" i="7" s="1"/>
  <c r="J16" i="7"/>
  <c r="L16" i="7" s="1"/>
  <c r="M16" i="7" s="1"/>
  <c r="I16" i="7"/>
  <c r="H17" i="7"/>
  <c r="AD16" i="7" l="1"/>
  <c r="AE16" i="7" s="1"/>
  <c r="AA16" i="7"/>
  <c r="AB16" i="7" s="1"/>
  <c r="T16" i="7"/>
  <c r="W16" i="7"/>
  <c r="Z16" i="7"/>
  <c r="AC16" i="7"/>
  <c r="AF16" i="7"/>
  <c r="K16" i="7"/>
  <c r="N16" i="7"/>
  <c r="Q16" i="7"/>
  <c r="X16" i="7"/>
  <c r="Y16" i="7" s="1"/>
  <c r="U17" i="7"/>
  <c r="V17" i="7" s="1"/>
  <c r="O17" i="7"/>
  <c r="P17" i="7" s="1"/>
  <c r="AA17" i="7"/>
  <c r="AB17" i="7" s="1"/>
  <c r="U16" i="7"/>
  <c r="V16" i="7" s="1"/>
  <c r="R16" i="7"/>
  <c r="S16" i="7" s="1"/>
  <c r="AG16" i="7"/>
  <c r="AH16" i="7" s="1"/>
  <c r="O16" i="7"/>
  <c r="P16" i="7" s="1"/>
  <c r="J17" i="7"/>
  <c r="AG17" i="7" s="1"/>
  <c r="AH17" i="7" s="1"/>
  <c r="I17" i="7"/>
  <c r="H18" i="7"/>
  <c r="W17" i="7" l="1"/>
  <c r="K17" i="7"/>
  <c r="T17" i="7"/>
  <c r="Z17" i="7"/>
  <c r="AC17" i="7"/>
  <c r="AF17" i="7"/>
  <c r="N17" i="7"/>
  <c r="Q17" i="7"/>
  <c r="X17" i="7"/>
  <c r="Y17" i="7" s="1"/>
  <c r="L17" i="7"/>
  <c r="M17" i="7" s="1"/>
  <c r="AD17" i="7"/>
  <c r="AE17" i="7" s="1"/>
  <c r="R17" i="7"/>
  <c r="S17" i="7" s="1"/>
  <c r="J18" i="7"/>
  <c r="AA18" i="7" s="1"/>
  <c r="AB18" i="7" s="1"/>
  <c r="I18" i="7"/>
  <c r="H19" i="7"/>
  <c r="O18" i="7" l="1"/>
  <c r="P18" i="7" s="1"/>
  <c r="AG18" i="7"/>
  <c r="AH18" i="7" s="1"/>
  <c r="X19" i="7"/>
  <c r="Y19" i="7" s="1"/>
  <c r="O19" i="7"/>
  <c r="P19" i="7" s="1"/>
  <c r="R19" i="7"/>
  <c r="S19" i="7" s="1"/>
  <c r="Z18" i="7"/>
  <c r="AC18" i="7"/>
  <c r="K18" i="7"/>
  <c r="W18" i="7"/>
  <c r="AF18" i="7"/>
  <c r="N18" i="7"/>
  <c r="Q18" i="7"/>
  <c r="T18" i="7"/>
  <c r="AD18" i="7"/>
  <c r="AE18" i="7" s="1"/>
  <c r="L18" i="7"/>
  <c r="M18" i="7" s="1"/>
  <c r="R18" i="7"/>
  <c r="S18" i="7" s="1"/>
  <c r="X18" i="7"/>
  <c r="Y18" i="7" s="1"/>
  <c r="U18" i="7"/>
  <c r="V18" i="7" s="1"/>
  <c r="J19" i="7"/>
  <c r="AD19" i="7" s="1"/>
  <c r="AE19" i="7" s="1"/>
  <c r="I19" i="7"/>
  <c r="H20" i="7"/>
  <c r="AC19" i="7" l="1"/>
  <c r="AF19" i="7"/>
  <c r="K19" i="7"/>
  <c r="N19" i="7"/>
  <c r="Z19" i="7"/>
  <c r="Q19" i="7"/>
  <c r="T19" i="7"/>
  <c r="W19" i="7"/>
  <c r="L19" i="7"/>
  <c r="M19" i="7" s="1"/>
  <c r="U19" i="7"/>
  <c r="V19" i="7" s="1"/>
  <c r="AA19" i="7"/>
  <c r="AB19" i="7" s="1"/>
  <c r="AG19" i="7"/>
  <c r="AH19" i="7" s="1"/>
  <c r="R20" i="7"/>
  <c r="S20" i="7" s="1"/>
  <c r="L20" i="7"/>
  <c r="M20" i="7" s="1"/>
  <c r="U20" i="7"/>
  <c r="V20" i="7" s="1"/>
  <c r="X20" i="7"/>
  <c r="Y20" i="7" s="1"/>
  <c r="AG20" i="7"/>
  <c r="AH20" i="7" s="1"/>
  <c r="O20" i="7"/>
  <c r="P20" i="7" s="1"/>
  <c r="AA20" i="7"/>
  <c r="AB20" i="7" s="1"/>
  <c r="J20" i="7"/>
  <c r="AD20" i="7" s="1"/>
  <c r="AE20" i="7" s="1"/>
  <c r="I20" i="7"/>
  <c r="H21" i="7"/>
  <c r="AD21" i="7" l="1"/>
  <c r="AE21" i="7" s="1"/>
  <c r="R21" i="7"/>
  <c r="S21" i="7" s="1"/>
  <c r="L21" i="7"/>
  <c r="M21" i="7" s="1"/>
  <c r="U21" i="7"/>
  <c r="V21" i="7" s="1"/>
  <c r="AG21" i="7"/>
  <c r="AH21" i="7" s="1"/>
  <c r="AF20" i="7"/>
  <c r="N20" i="7"/>
  <c r="Q20" i="7"/>
  <c r="K20" i="7"/>
  <c r="T20" i="7"/>
  <c r="W20" i="7"/>
  <c r="AC20" i="7"/>
  <c r="Z20" i="7"/>
  <c r="J21" i="7"/>
  <c r="X21" i="7" s="1"/>
  <c r="Y21" i="7" s="1"/>
  <c r="I21" i="7"/>
  <c r="H22" i="7"/>
  <c r="O21" i="7" l="1"/>
  <c r="P21" i="7" s="1"/>
  <c r="AA21" i="7"/>
  <c r="AB21" i="7" s="1"/>
  <c r="AG22" i="7"/>
  <c r="AH22" i="7" s="1"/>
  <c r="U22" i="7"/>
  <c r="V22" i="7" s="1"/>
  <c r="O22" i="7"/>
  <c r="P22" i="7" s="1"/>
  <c r="AD22" i="7"/>
  <c r="AE22" i="7" s="1"/>
  <c r="X22" i="7"/>
  <c r="Y22" i="7" s="1"/>
  <c r="N21" i="7"/>
  <c r="K21" i="7"/>
  <c r="Q21" i="7"/>
  <c r="T21" i="7"/>
  <c r="W21" i="7"/>
  <c r="AF21" i="7"/>
  <c r="Z21" i="7"/>
  <c r="AC21" i="7"/>
  <c r="J22" i="7"/>
  <c r="L22" i="7" s="1"/>
  <c r="M22" i="7" s="1"/>
  <c r="I22" i="7"/>
  <c r="H23" i="7"/>
  <c r="R22" i="7" l="1"/>
  <c r="S22" i="7" s="1"/>
  <c r="N22" i="7"/>
  <c r="Q22" i="7"/>
  <c r="Z22" i="7"/>
  <c r="T22" i="7"/>
  <c r="W22" i="7"/>
  <c r="AC22" i="7"/>
  <c r="K22" i="7"/>
  <c r="AF22" i="7"/>
  <c r="AA22" i="7"/>
  <c r="AB22" i="7" s="1"/>
  <c r="AG23" i="7"/>
  <c r="AH23" i="7" s="1"/>
  <c r="X23" i="7"/>
  <c r="Y23" i="7" s="1"/>
  <c r="L23" i="7"/>
  <c r="M23" i="7" s="1"/>
  <c r="R23" i="7"/>
  <c r="S23" i="7" s="1"/>
  <c r="U23" i="7"/>
  <c r="V23" i="7" s="1"/>
  <c r="AD23" i="7"/>
  <c r="AE23" i="7" s="1"/>
  <c r="AA23" i="7"/>
  <c r="AB23" i="7" s="1"/>
  <c r="J23" i="7"/>
  <c r="O23" i="7" s="1"/>
  <c r="P23" i="7" s="1"/>
  <c r="I23" i="7"/>
  <c r="H24" i="7"/>
  <c r="AA24" i="7" l="1"/>
  <c r="AB24" i="7" s="1"/>
  <c r="L24" i="7"/>
  <c r="M24" i="7" s="1"/>
  <c r="X24" i="7"/>
  <c r="Y24" i="7" s="1"/>
  <c r="O24" i="7"/>
  <c r="P24" i="7" s="1"/>
  <c r="R24" i="7"/>
  <c r="S24" i="7" s="1"/>
  <c r="U24" i="7"/>
  <c r="V24" i="7" s="1"/>
  <c r="Q23" i="7"/>
  <c r="T23" i="7"/>
  <c r="W23" i="7"/>
  <c r="AC23" i="7"/>
  <c r="Z23" i="7"/>
  <c r="AF23" i="7"/>
  <c r="K23" i="7"/>
  <c r="N23" i="7"/>
  <c r="J24" i="7"/>
  <c r="AG24" i="7" s="1"/>
  <c r="AH24" i="7" s="1"/>
  <c r="I24" i="7"/>
  <c r="T24" i="7" l="1"/>
  <c r="W24" i="7"/>
  <c r="Z24" i="7"/>
  <c r="Q24" i="7"/>
  <c r="AC24" i="7"/>
  <c r="AF24" i="7"/>
  <c r="K24" i="7"/>
  <c r="N24" i="7"/>
  <c r="AD24" i="7"/>
  <c r="AE24" i="7" s="1"/>
  <c r="B6" i="1"/>
  <c r="N5" i="1" s="1"/>
  <c r="B7" i="1"/>
  <c r="N3" i="1" s="1"/>
  <c r="O3" i="1" s="1"/>
  <c r="O4" i="1" l="1"/>
  <c r="P3" i="1"/>
  <c r="Q3" i="1"/>
  <c r="M3" i="1"/>
  <c r="M5" i="1"/>
  <c r="M4" i="1"/>
  <c r="M7" i="1"/>
  <c r="M6" i="1"/>
  <c r="L7" i="1"/>
  <c r="L5" i="1"/>
  <c r="L3" i="1"/>
  <c r="L6" i="1"/>
  <c r="L4" i="1"/>
  <c r="O5" i="1" l="1"/>
  <c r="P4" i="1"/>
  <c r="Q4" i="1"/>
  <c r="P5" i="1" l="1"/>
  <c r="O6" i="1"/>
  <c r="Q5" i="1"/>
  <c r="O7" i="1" l="1"/>
  <c r="P6" i="1"/>
  <c r="Q6" i="1"/>
  <c r="Q7" i="1" l="1"/>
  <c r="P7" i="1"/>
  <c r="O8" i="1"/>
  <c r="Q8" i="1" l="1"/>
  <c r="P8" i="1"/>
  <c r="O9" i="1"/>
  <c r="Q9" i="1" l="1"/>
  <c r="P9" i="1"/>
  <c r="O10" i="1"/>
  <c r="O11" i="1" l="1"/>
  <c r="Q10" i="1"/>
  <c r="P10" i="1"/>
  <c r="Q11" i="1" l="1"/>
  <c r="O12" i="1"/>
  <c r="P11" i="1"/>
  <c r="Q12" i="1" l="1"/>
  <c r="P12" i="1"/>
  <c r="O13" i="1"/>
  <c r="P13" i="1" l="1"/>
  <c r="Q13" i="1"/>
  <c r="O14" i="1"/>
  <c r="O15" i="1" l="1"/>
  <c r="P14" i="1"/>
  <c r="Q14" i="1"/>
  <c r="Q15" i="1" l="1"/>
  <c r="O16" i="1"/>
  <c r="P15" i="1"/>
  <c r="Q16" i="1" l="1"/>
  <c r="P16" i="1"/>
  <c r="O17" i="1"/>
  <c r="Q17" i="1" l="1"/>
  <c r="P17" i="1"/>
  <c r="O18" i="1"/>
  <c r="P18" i="1" l="1"/>
  <c r="Q18" i="1"/>
  <c r="O19" i="1"/>
  <c r="O20" i="1" l="1"/>
  <c r="P19" i="1"/>
  <c r="Q19" i="1"/>
  <c r="Q20" i="1" l="1"/>
  <c r="O21" i="1"/>
  <c r="P20" i="1"/>
  <c r="O22" i="1" l="1"/>
  <c r="Q21" i="1"/>
  <c r="P21" i="1"/>
  <c r="Q22" i="1" l="1"/>
  <c r="O23" i="1"/>
  <c r="O24" i="1" s="1"/>
  <c r="P22" i="1"/>
  <c r="Q24" i="1" l="1"/>
  <c r="P24" i="1"/>
  <c r="Q23" i="1"/>
  <c r="P23" i="1"/>
</calcChain>
</file>

<file path=xl/sharedStrings.xml><?xml version="1.0" encoding="utf-8"?>
<sst xmlns="http://schemas.openxmlformats.org/spreadsheetml/2006/main" count="150" uniqueCount="111">
  <si>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</si>
  <si>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</si>
  <si>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</si>
  <si>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</si>
  <si>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</si>
  <si>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</si>
  <si>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</si>
  <si>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</si>
  <si>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</si>
  <si>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</si>
  <si>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</si>
  <si>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</si>
  <si>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</si>
  <si>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</si>
  <si>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</si>
  <si>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</si>
  <si>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</si>
  <si>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</si>
  <si>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</si>
  <si>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</si>
  <si>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</si>
  <si>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</si>
  <si>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</si>
  <si>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</si>
  <si>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</si>
  <si>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</si>
  <si>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</si>
  <si>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</si>
  <si>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</si>
  <si>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</si>
  <si>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</si>
  <si>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</si>
  <si>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</si>
  <si>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</si>
  <si>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</si>
  <si>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</si>
  <si>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</si>
  <si>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</si>
  <si>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side</t>
  </si>
  <si>
    <t>x1</t>
  </si>
  <si>
    <t>y1</t>
  </si>
  <si>
    <t>x2</t>
  </si>
  <si>
    <t>y2</t>
  </si>
  <si>
    <t>a</t>
  </si>
  <si>
    <t>b</t>
  </si>
  <si>
    <t>yn</t>
  </si>
  <si>
    <t>K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</si>
  <si>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</si>
  <si>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</si>
  <si>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</si>
  <si>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</si>
  <si>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</si>
  <si>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</si>
  <si>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</si>
  <si>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</si>
  <si>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</si>
  <si>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</si>
  <si>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</si>
  <si>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</si>
  <si>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</si>
  <si>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</si>
  <si>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</si>
  <si>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</si>
  <si>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</si>
  <si>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</si>
  <si>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</si>
  <si>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</si>
  <si>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</si>
  <si>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</si>
  <si>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</si>
  <si>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</si>
  <si>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</si>
  <si>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</si>
  <si>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</si>
  <si>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</si>
  <si>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</si>
  <si>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</si>
  <si>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</si>
  <si>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</si>
  <si>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</si>
  <si>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</si>
  <si>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</si>
  <si>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</si>
  <si>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</si>
  <si>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</si>
  <si>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</si>
  <si>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</si>
  <si>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Length [mm]</t>
  </si>
  <si>
    <t>Y1</t>
  </si>
  <si>
    <t>Add terminations</t>
  </si>
  <si>
    <t>yp</t>
  </si>
  <si>
    <t>Updates</t>
  </si>
  <si>
    <t xml:space="preserve">Adding block shape options </t>
  </si>
  <si>
    <t>MagNet model parameters</t>
  </si>
  <si>
    <t>Scale</t>
  </si>
  <si>
    <t>Vacodym 764AP Br=1.28T</t>
  </si>
  <si>
    <t>Vacodym 764AP Br=1.31T</t>
  </si>
  <si>
    <t>inches</t>
  </si>
  <si>
    <t>meters</t>
  </si>
  <si>
    <t>centimeters</t>
  </si>
  <si>
    <t>millimeters</t>
  </si>
  <si>
    <t>microns</t>
  </si>
  <si>
    <t>Yes</t>
  </si>
  <si>
    <t>Changing script to create grouped components</t>
  </si>
  <si>
    <t>Adding new block shape</t>
  </si>
  <si>
    <t>Power [W]</t>
  </si>
  <si>
    <t>Making changes for planar undulator</t>
  </si>
  <si>
    <t>Planar Adjustable Phase Undulator</t>
  </si>
  <si>
    <t>Vacodym 764AP Br=1.32T</t>
  </si>
  <si>
    <t xml:space="preserve">λ1 [m] </t>
  </si>
  <si>
    <t>APU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</si>
</sst>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  <numFmt numFmtId="170" formatCode="0.000000"/>
  </numFmts>
  <fonts count="26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  <font>
      <b/>
      <sz val="11"/>
      <color theme="1"/>
      <name val="Calibri"/>
      <family val="2"/>
    </font>
    <font>
      <u/>
      <sz val="10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4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03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0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8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13" fillId="0" borderId="0" xfId="0" applyFont="1" applyAlignment="1">
      <alignment horizontal="center"/>
    </xf>
    <xf numFmtId="0" fontId="17" fillId="0" borderId="0" xfId="0" applyFont="1"/>
    <xf numFmtId="0" fontId="13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15" fillId="0" borderId="0" xfId="0" applyNumberFormat="1" applyFont="1"/>
    <xf numFmtId="0" fontId="13" fillId="0" borderId="0" xfId="0" applyFont="1" applyAlignment="1"/>
    <xf numFmtId="1" fontId="15" fillId="0" borderId="0" xfId="0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11" fontId="13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0" fontId="2" fillId="0" borderId="0" xfId="0" applyFont="1" applyAlignment="1"/>
    <xf numFmtId="11" fontId="21" fillId="0" borderId="0" xfId="0" applyNumberFormat="1" applyFont="1" applyFill="1" applyAlignment="1">
      <alignment horizontal="center"/>
    </xf>
    <xf numFmtId="11" fontId="0" fillId="0" borderId="0" xfId="0" applyNumberFormat="1"/>
    <xf numFmtId="170" fontId="0" fillId="0" borderId="0" xfId="0" applyNumberFormat="1"/>
    <xf numFmtId="0" fontId="22" fillId="0" borderId="0" xfId="0" applyFont="1"/>
    <xf numFmtId="14" fontId="0" fillId="0" borderId="0" xfId="0" applyNumberFormat="1"/>
    <xf numFmtId="0" fontId="14" fillId="0" borderId="5" xfId="0" applyFont="1" applyFill="1" applyBorder="1" applyAlignment="1"/>
    <xf numFmtId="0" fontId="14" fillId="0" borderId="0" xfId="0" applyFont="1" applyFill="1" applyBorder="1" applyAlignment="1"/>
    <xf numFmtId="0" fontId="0" fillId="0" borderId="0" xfId="0" applyFill="1" applyBorder="1"/>
    <xf numFmtId="0" fontId="23" fillId="0" borderId="5" xfId="0" applyFont="1" applyFill="1" applyBorder="1" applyAlignment="1"/>
    <xf numFmtId="0" fontId="17" fillId="0" borderId="7" xfId="0" applyFont="1" applyBorder="1"/>
    <xf numFmtId="0" fontId="4" fillId="0" borderId="7" xfId="0" applyFont="1" applyBorder="1"/>
    <xf numFmtId="166" fontId="15" fillId="0" borderId="8" xfId="0" applyNumberFormat="1" applyFont="1" applyBorder="1"/>
    <xf numFmtId="0" fontId="6" fillId="0" borderId="8" xfId="0" applyFont="1" applyBorder="1"/>
    <xf numFmtId="11" fontId="6" fillId="0" borderId="8" xfId="0" applyNumberFormat="1" applyFont="1" applyBorder="1"/>
    <xf numFmtId="164" fontId="15" fillId="0" borderId="8" xfId="0" applyNumberFormat="1" applyFont="1" applyBorder="1"/>
    <xf numFmtId="169" fontId="6" fillId="0" borderId="8" xfId="0" applyNumberFormat="1" applyFont="1" applyBorder="1"/>
    <xf numFmtId="2" fontId="15" fillId="0" borderId="8" xfId="0" applyNumberFormat="1" applyFont="1" applyBorder="1"/>
    <xf numFmtId="1" fontId="15" fillId="0" borderId="8" xfId="0" applyNumberFormat="1" applyFont="1" applyBorder="1"/>
    <xf numFmtId="0" fontId="18" fillId="0" borderId="10" xfId="0" applyFont="1" applyBorder="1"/>
    <xf numFmtId="2" fontId="15" fillId="0" borderId="12" xfId="0" applyNumberFormat="1" applyFont="1" applyBorder="1"/>
    <xf numFmtId="0" fontId="18" fillId="0" borderId="7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 applyBorder="1"/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0" fillId="0" borderId="7" xfId="0" applyFont="1" applyBorder="1"/>
    <xf numFmtId="0" fontId="16" fillId="0" borderId="8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Border="1" applyAlignment="1">
      <alignment horizontal="left" indent="3"/>
    </xf>
    <xf numFmtId="0" fontId="15" fillId="0" borderId="8" xfId="0" applyFont="1" applyBorder="1"/>
    <xf numFmtId="165" fontId="15" fillId="0" borderId="8" xfId="0" applyNumberFormat="1" applyFont="1" applyBorder="1"/>
    <xf numFmtId="168" fontId="6" fillId="0" borderId="8" xfId="1" applyNumberFormat="1" applyFont="1" applyBorder="1"/>
    <xf numFmtId="0" fontId="4" fillId="0" borderId="7" xfId="0" applyFont="1" applyBorder="1" applyAlignment="1">
      <alignment vertical="center"/>
    </xf>
    <xf numFmtId="164" fontId="15" fillId="0" borderId="8" xfId="0" applyNumberFormat="1" applyFont="1" applyBorder="1" applyAlignment="1">
      <alignment vertical="center"/>
    </xf>
    <xf numFmtId="0" fontId="6" fillId="0" borderId="8" xfId="0" applyFont="1" applyBorder="1" applyAlignment="1">
      <alignment horizontal="right"/>
    </xf>
    <xf numFmtId="0" fontId="7" fillId="0" borderId="0" xfId="0" applyFont="1" applyBorder="1"/>
    <xf numFmtId="0" fontId="1" fillId="0" borderId="4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4" fillId="0" borderId="7" xfId="0" applyFont="1" applyFill="1" applyBorder="1" applyAlignment="1">
      <alignment vertical="center"/>
    </xf>
    <xf numFmtId="0" fontId="24" fillId="0" borderId="8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0" xfId="0" applyFont="1" applyBorder="1"/>
    <xf numFmtId="0" fontId="1" fillId="0" borderId="8" xfId="0" applyFont="1" applyBorder="1"/>
    <xf numFmtId="0" fontId="7" fillId="0" borderId="7" xfId="0" applyFont="1" applyBorder="1"/>
    <xf numFmtId="0" fontId="7" fillId="0" borderId="8" xfId="0" applyFont="1" applyBorder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11" fillId="2" borderId="1" xfId="0" applyFont="1" applyFill="1" applyBorder="1" applyAlignment="1">
      <alignment horizontal="center"/>
    </xf>
    <xf numFmtId="2" fontId="11" fillId="0" borderId="1" xfId="0" applyNumberFormat="1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/>
    </xf>
    <xf numFmtId="2" fontId="11" fillId="0" borderId="3" xfId="0" applyNumberFormat="1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center"/>
    </xf>
    <xf numFmtId="0" fontId="24" fillId="3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4" fillId="3" borderId="4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/>
    </xf>
    <xf numFmtId="0" fontId="24" fillId="3" borderId="14" xfId="0" applyFont="1" applyFill="1" applyBorder="1" applyAlignment="1">
      <alignment horizontal="center"/>
    </xf>
    <xf numFmtId="0" fontId="24" fillId="3" borderId="1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constants'!$K$5:$K$24</c:f>
              <c:numCache>
                <c:formatCode>0.0</c:formatCode>
                <c:ptCount val="20"/>
                <c:pt idx="0">
                  <c:v>1933.0526504893642</c:v>
                </c:pt>
                <c:pt idx="1">
                  <c:v>2032.6214979943607</c:v>
                </c:pt>
                <c:pt idx="2">
                  <c:v>2137.0531726485551</c:v>
                </c:pt>
                <c:pt idx="3">
                  <c:v>2246.2209641002619</c:v>
                </c:pt>
                <c:pt idx="4">
                  <c:v>2359.8830364691021</c:v>
                </c:pt>
                <c:pt idx="5">
                  <c:v>2477.6577803124856</c:v>
                </c:pt>
                <c:pt idx="6">
                  <c:v>2598.9977545019374</c:v>
                </c:pt>
                <c:pt idx="7">
                  <c:v>2723.1635781853884</c:v>
                </c:pt>
                <c:pt idx="8">
                  <c:v>2849.1997828254971</c:v>
                </c:pt>
                <c:pt idx="9">
                  <c:v>2975.915354848858</c:v>
                </c:pt>
                <c:pt idx="10">
                  <c:v>3101.8724027807848</c:v>
                </c:pt>
                <c:pt idx="11">
                  <c:v>3225.386926116701</c:v>
                </c:pt>
                <c:pt idx="12">
                  <c:v>3344.5458499333004</c:v>
                </c:pt>
                <c:pt idx="13">
                  <c:v>3457.2440893440976</c:v>
                </c:pt>
                <c:pt idx="14">
                  <c:v>3561.2442059867376</c:v>
                </c:pt>
                <c:pt idx="15">
                  <c:v>3654.2590907748895</c:v>
                </c:pt>
                <c:pt idx="16">
                  <c:v>3734.0551133976678</c:v>
                </c:pt>
                <c:pt idx="17">
                  <c:v>3798.5696426161931</c:v>
                </c:pt>
                <c:pt idx="18">
                  <c:v>3846.0333678134548</c:v>
                </c:pt>
                <c:pt idx="19">
                  <c:v>3875.0852476442233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1971241214591534.5</c:v>
                </c:pt>
                <c:pt idx="1">
                  <c:v>1904873320156350.8</c:v>
                </c:pt>
                <c:pt idx="2">
                  <c:v>1831332508009074</c:v>
                </c:pt>
                <c:pt idx="3">
                  <c:v>1750136587599234.5</c:v>
                </c:pt>
                <c:pt idx="4">
                  <c:v>1660890713660853</c:v>
                </c:pt>
                <c:pt idx="5">
                  <c:v>1563337259543361</c:v>
                </c:pt>
                <c:pt idx="6">
                  <c:v>1457416521517658.8</c:v>
                </c:pt>
                <c:pt idx="7">
                  <c:v>1343337273445074</c:v>
                </c:pt>
                <c:pt idx="8">
                  <c:v>1221654313647202.3</c:v>
                </c:pt>
                <c:pt idx="9">
                  <c:v>1093347652681322.3</c:v>
                </c:pt>
                <c:pt idx="10">
                  <c:v>959895043018519.13</c:v>
                </c:pt>
                <c:pt idx="11">
                  <c:v>823326552095176.38</c:v>
                </c:pt>
                <c:pt idx="12">
                  <c:v>686247517928977.5</c:v>
                </c:pt>
                <c:pt idx="13">
                  <c:v>551815439677950.69</c:v>
                </c:pt>
                <c:pt idx="14">
                  <c:v>423658163221333.38</c:v>
                </c:pt>
                <c:pt idx="15">
                  <c:v>305725906419038.13</c:v>
                </c:pt>
                <c:pt idx="16">
                  <c:v>202078361026569.66</c:v>
                </c:pt>
                <c:pt idx="17">
                  <c:v>116619417996571.47</c:v>
                </c:pt>
                <c:pt idx="18">
                  <c:v>52803958540888.5</c:v>
                </c:pt>
                <c:pt idx="19">
                  <c:v>13350766769318.893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constants'!$N$5:$N$24</c:f>
              <c:numCache>
                <c:formatCode>0.0</c:formatCode>
                <c:ptCount val="20"/>
                <c:pt idx="0">
                  <c:v>5799.1579514680925</c:v>
                </c:pt>
                <c:pt idx="1">
                  <c:v>6097.864493983082</c:v>
                </c:pt>
                <c:pt idx="2">
                  <c:v>6411.1595179456654</c:v>
                </c:pt>
                <c:pt idx="3">
                  <c:v>6738.6628923007847</c:v>
                </c:pt>
                <c:pt idx="4">
                  <c:v>7079.6491094073053</c:v>
                </c:pt>
                <c:pt idx="5">
                  <c:v>7432.9733409374567</c:v>
                </c:pt>
                <c:pt idx="6">
                  <c:v>7796.9932635058121</c:v>
                </c:pt>
                <c:pt idx="7">
                  <c:v>8169.4907345561651</c:v>
                </c:pt>
                <c:pt idx="8">
                  <c:v>8547.5993484764913</c:v>
                </c:pt>
                <c:pt idx="9">
                  <c:v>8927.7460645465726</c:v>
                </c:pt>
                <c:pt idx="10">
                  <c:v>9305.6172083423553</c:v>
                </c:pt>
                <c:pt idx="11">
                  <c:v>9676.1607783501022</c:v>
                </c:pt>
                <c:pt idx="12">
                  <c:v>10033.637549799902</c:v>
                </c:pt>
                <c:pt idx="13">
                  <c:v>10371.732268032292</c:v>
                </c:pt>
                <c:pt idx="14">
                  <c:v>10683.732617960211</c:v>
                </c:pt>
                <c:pt idx="15">
                  <c:v>10962.777272324669</c:v>
                </c:pt>
                <c:pt idx="16">
                  <c:v>11202.165340193003</c:v>
                </c:pt>
                <c:pt idx="17">
                  <c:v>11395.70892784858</c:v>
                </c:pt>
                <c:pt idx="18">
                  <c:v>11538.100103440365</c:v>
                </c:pt>
                <c:pt idx="19">
                  <c:v>11625.25574293267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640839651308203.63</c:v>
                </c:pt>
                <c:pt idx="1">
                  <c:v>569924086337514.75</c:v>
                </c:pt>
                <c:pt idx="2">
                  <c:v>498585393989083.25</c:v>
                </c:pt>
                <c:pt idx="3">
                  <c:v>427955078636090.19</c:v>
                </c:pt>
                <c:pt idx="4">
                  <c:v>359318006979988.63</c:v>
                </c:pt>
                <c:pt idx="5">
                  <c:v>294057299578266.63</c:v>
                </c:pt>
                <c:pt idx="6">
                  <c:v>233570457912492.44</c:v>
                </c:pt>
                <c:pt idx="7">
                  <c:v>179158465696643.84</c:v>
                </c:pt>
                <c:pt idx="8">
                  <c:v>131896312588575.91</c:v>
                </c:pt>
                <c:pt idx="9">
                  <c:v>92501525693921.859</c:v>
                </c:pt>
                <c:pt idx="10">
                  <c:v>61224884863061.633</c:v>
                </c:pt>
                <c:pt idx="11">
                  <c:v>37791390287940.414</c:v>
                </c:pt>
                <c:pt idx="12">
                  <c:v>21416146609576.086</c:v>
                </c:pt>
                <c:pt idx="13">
                  <c:v>10906695725433.4</c:v>
                </c:pt>
                <c:pt idx="14">
                  <c:v>4841339803432.3086</c:v>
                </c:pt>
                <c:pt idx="15">
                  <c:v>1787847552514.0935</c:v>
                </c:pt>
                <c:pt idx="16">
                  <c:v>508543308580.70911</c:v>
                </c:pt>
                <c:pt idx="17">
                  <c:v>96546047233.115753</c:v>
                </c:pt>
                <c:pt idx="18">
                  <c:v>8881083715.0730381</c:v>
                </c:pt>
                <c:pt idx="19">
                  <c:v>142743079.76355842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constants'!$Q$5:$Q$24</c:f>
              <c:numCache>
                <c:formatCode>0.0</c:formatCode>
                <c:ptCount val="20"/>
                <c:pt idx="0">
                  <c:v>9665.2632524468208</c:v>
                </c:pt>
                <c:pt idx="1">
                  <c:v>10163.107489971804</c:v>
                </c:pt>
                <c:pt idx="2">
                  <c:v>10685.265863242776</c:v>
                </c:pt>
                <c:pt idx="3">
                  <c:v>11231.104820501308</c:v>
                </c:pt>
                <c:pt idx="4">
                  <c:v>11799.41518234551</c:v>
                </c:pt>
                <c:pt idx="5">
                  <c:v>12388.28890156243</c:v>
                </c:pt>
                <c:pt idx="6">
                  <c:v>12994.988772509689</c:v>
                </c:pt>
                <c:pt idx="7">
                  <c:v>13615.817890926943</c:v>
                </c:pt>
                <c:pt idx="8">
                  <c:v>14245.998914127487</c:v>
                </c:pt>
                <c:pt idx="9">
                  <c:v>14879.576774244289</c:v>
                </c:pt>
                <c:pt idx="10">
                  <c:v>15509.362013903925</c:v>
                </c:pt>
                <c:pt idx="11">
                  <c:v>16126.934630583504</c:v>
                </c:pt>
                <c:pt idx="12">
                  <c:v>16722.729249666503</c:v>
                </c:pt>
                <c:pt idx="13">
                  <c:v>17286.22044672049</c:v>
                </c:pt>
                <c:pt idx="14">
                  <c:v>17806.221029933688</c:v>
                </c:pt>
                <c:pt idx="15">
                  <c:v>18271.295453874449</c:v>
                </c:pt>
                <c:pt idx="16">
                  <c:v>18670.275566988341</c:v>
                </c:pt>
                <c:pt idx="17">
                  <c:v>18992.848213080968</c:v>
                </c:pt>
                <c:pt idx="18">
                  <c:v>19230.166839067275</c:v>
                </c:pt>
                <c:pt idx="19">
                  <c:v>19375.426238221116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243612934267289.09</c:v>
                </c:pt>
                <c:pt idx="1">
                  <c:v>198463146022088.72</c:v>
                </c:pt>
                <c:pt idx="2">
                  <c:v>157218855920369.91</c:v>
                </c:pt>
                <c:pt idx="3">
                  <c:v>120590654480579.8</c:v>
                </c:pt>
                <c:pt idx="4">
                  <c:v>89109919935584.859</c:v>
                </c:pt>
                <c:pt idx="5">
                  <c:v>63062903387686.781</c:v>
                </c:pt>
                <c:pt idx="6">
                  <c:v>42443880338767.617</c:v>
                </c:pt>
                <c:pt idx="7">
                  <c:v>26941115072848.211</c:v>
                </c:pt>
                <c:pt idx="8">
                  <c:v>15965708694321.674</c:v>
                </c:pt>
                <c:pt idx="9">
                  <c:v>8724916221096.3857</c:v>
                </c:pt>
                <c:pt idx="10">
                  <c:v>4329486983114.1709</c:v>
                </c:pt>
                <c:pt idx="11">
                  <c:v>1912769544833.2151</c:v>
                </c:pt>
                <c:pt idx="12">
                  <c:v>733148303497.71716</c:v>
                </c:pt>
                <c:pt idx="13">
                  <c:v>235318650958.87921</c:v>
                </c:pt>
                <c:pt idx="14">
                  <c:v>60120843724.778976</c:v>
                </c:pt>
                <c:pt idx="15">
                  <c:v>11316072098.817612</c:v>
                </c:pt>
                <c:pt idx="16">
                  <c:v>1380420720.4658267</c:v>
                </c:pt>
                <c:pt idx="17">
                  <c:v>85974446.708442941</c:v>
                </c:pt>
                <c:pt idx="18">
                  <c:v>1603436.0997571012</c:v>
                </c:pt>
                <c:pt idx="19">
                  <c:v>1636.246319000323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constants'!$T$5:$T$24</c:f>
              <c:numCache>
                <c:formatCode>0.0</c:formatCode>
                <c:ptCount val="20"/>
                <c:pt idx="0">
                  <c:v>13531.368553425549</c:v>
                </c:pt>
                <c:pt idx="1">
                  <c:v>14228.350485960525</c:v>
                </c:pt>
                <c:pt idx="2">
                  <c:v>14959.372208539888</c:v>
                </c:pt>
                <c:pt idx="3">
                  <c:v>15723.546748701834</c:v>
                </c:pt>
                <c:pt idx="4">
                  <c:v>16519.181255283715</c:v>
                </c:pt>
                <c:pt idx="5">
                  <c:v>17343.604462187403</c:v>
                </c:pt>
                <c:pt idx="6">
                  <c:v>18192.984281513563</c:v>
                </c:pt>
                <c:pt idx="7">
                  <c:v>19062.145047297719</c:v>
                </c:pt>
                <c:pt idx="8">
                  <c:v>19944.398479778483</c:v>
                </c:pt>
                <c:pt idx="9">
                  <c:v>20831.407483942006</c:v>
                </c:pt>
                <c:pt idx="10">
                  <c:v>21713.106819465494</c:v>
                </c:pt>
                <c:pt idx="11">
                  <c:v>22577.708482816906</c:v>
                </c:pt>
                <c:pt idx="12">
                  <c:v>23411.820949533103</c:v>
                </c:pt>
                <c:pt idx="13">
                  <c:v>24200.708625408686</c:v>
                </c:pt>
                <c:pt idx="14">
                  <c:v>24928.709441907165</c:v>
                </c:pt>
                <c:pt idx="15">
                  <c:v>25579.813635424231</c:v>
                </c:pt>
                <c:pt idx="16">
                  <c:v>26138.385793783676</c:v>
                </c:pt>
                <c:pt idx="17">
                  <c:v>26589.987498313352</c:v>
                </c:pt>
                <c:pt idx="18">
                  <c:v>26922.233574694186</c:v>
                </c:pt>
                <c:pt idx="19">
                  <c:v>27125.596733509563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96039444403042.359</c:v>
                </c:pt>
                <c:pt idx="1">
                  <c:v>71561133877691.563</c:v>
                </c:pt>
                <c:pt idx="2">
                  <c:v>51253892193394.516</c:v>
                </c:pt>
                <c:pt idx="3">
                  <c:v>35075034671233.973</c:v>
                </c:pt>
                <c:pt idx="4">
                  <c:v>22774363338796.027</c:v>
                </c:pt>
                <c:pt idx="5">
                  <c:v>13915185396324.717</c:v>
                </c:pt>
                <c:pt idx="6">
                  <c:v>7922913817508.7354</c:v>
                </c:pt>
                <c:pt idx="7">
                  <c:v>4154992424719.4995</c:v>
                </c:pt>
                <c:pt idx="8">
                  <c:v>1978941332322.3369</c:v>
                </c:pt>
                <c:pt idx="9">
                  <c:v>841375558648.57019</c:v>
                </c:pt>
                <c:pt idx="10">
                  <c:v>312542086283.78888</c:v>
                </c:pt>
                <c:pt idx="11">
                  <c:v>98689315158.875397</c:v>
                </c:pt>
                <c:pt idx="12">
                  <c:v>25549826903.451878</c:v>
                </c:pt>
                <c:pt idx="13">
                  <c:v>5161958209.5715837</c:v>
                </c:pt>
                <c:pt idx="14">
                  <c:v>758190650.30101466</c:v>
                </c:pt>
                <c:pt idx="15">
                  <c:v>72662700.043613672</c:v>
                </c:pt>
                <c:pt idx="16">
                  <c:v>3798118.7727139504</c:v>
                </c:pt>
                <c:pt idx="17">
                  <c:v>77548.757651641645</c:v>
                </c:pt>
                <c:pt idx="18">
                  <c:v>293.07983221294137</c:v>
                </c:pt>
                <c:pt idx="19">
                  <c:v>1.8982585369161534E-2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constants'!$W$5:$W$24</c:f>
              <c:numCache>
                <c:formatCode>0.0</c:formatCode>
                <c:ptCount val="20"/>
                <c:pt idx="0">
                  <c:v>17397.473854404278</c:v>
                </c:pt>
                <c:pt idx="1">
                  <c:v>18293.593481949247</c:v>
                </c:pt>
                <c:pt idx="2">
                  <c:v>19233.478553836998</c:v>
                </c:pt>
                <c:pt idx="3">
                  <c:v>20215.988676902358</c:v>
                </c:pt>
                <c:pt idx="4">
                  <c:v>21238.947328221919</c:v>
                </c:pt>
                <c:pt idx="5">
                  <c:v>22298.920022812374</c:v>
                </c:pt>
                <c:pt idx="6">
                  <c:v>23390.979790517438</c:v>
                </c:pt>
                <c:pt idx="7">
                  <c:v>24508.472203668498</c:v>
                </c:pt>
                <c:pt idx="8">
                  <c:v>25642.798045429477</c:v>
                </c:pt>
                <c:pt idx="9">
                  <c:v>26783.238193639721</c:v>
                </c:pt>
                <c:pt idx="10">
                  <c:v>27916.851625027066</c:v>
                </c:pt>
                <c:pt idx="11">
                  <c:v>29028.48233505031</c:v>
                </c:pt>
                <c:pt idx="12">
                  <c:v>30100.912649399706</c:v>
                </c:pt>
                <c:pt idx="13">
                  <c:v>31115.196804096882</c:v>
                </c:pt>
                <c:pt idx="14">
                  <c:v>32051.19785388064</c:v>
                </c:pt>
                <c:pt idx="15">
                  <c:v>32888.331816974009</c:v>
                </c:pt>
                <c:pt idx="16">
                  <c:v>33606.496020579012</c:v>
                </c:pt>
                <c:pt idx="17">
                  <c:v>34187.12678354574</c:v>
                </c:pt>
                <c:pt idx="18">
                  <c:v>34614.300310321094</c:v>
                </c:pt>
                <c:pt idx="19">
                  <c:v>34875.767228798009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38417377089717.102</c:v>
                </c:pt>
                <c:pt idx="1">
                  <c:v>26163366417501.352</c:v>
                </c:pt>
                <c:pt idx="2">
                  <c:v>16929985128650.855</c:v>
                </c:pt>
                <c:pt idx="3">
                  <c:v>10329467949809.484</c:v>
                </c:pt>
                <c:pt idx="4">
                  <c:v>5889121845270.8105</c:v>
                </c:pt>
                <c:pt idx="5">
                  <c:v>3104410699612.3569</c:v>
                </c:pt>
                <c:pt idx="6">
                  <c:v>1494255451886.4402</c:v>
                </c:pt>
                <c:pt idx="7">
                  <c:v>646986852950.41406</c:v>
                </c:pt>
                <c:pt idx="8">
                  <c:v>247489051918.53464</c:v>
                </c:pt>
                <c:pt idx="9">
                  <c:v>81811410897.372772</c:v>
                </c:pt>
                <c:pt idx="10">
                  <c:v>22735482765.237286</c:v>
                </c:pt>
                <c:pt idx="11">
                  <c:v>5127939528.4062166</c:v>
                </c:pt>
                <c:pt idx="12">
                  <c:v>896203939.79170454</c:v>
                </c:pt>
                <c:pt idx="13">
                  <c:v>113912472.75130455</c:v>
                </c:pt>
                <c:pt idx="14">
                  <c:v>9614518.9633982219</c:v>
                </c:pt>
                <c:pt idx="15">
                  <c:v>468969.29858662892</c:v>
                </c:pt>
                <c:pt idx="16">
                  <c:v>10500.043503173043</c:v>
                </c:pt>
                <c:pt idx="17">
                  <c:v>70.262605992907993</c:v>
                </c:pt>
                <c:pt idx="18">
                  <c:v>5.3799130099467032E-2</c:v>
                </c:pt>
                <c:pt idx="19">
                  <c:v>2.2113772954465711E-7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constants'!$Z$5:$Z$24</c:f>
              <c:numCache>
                <c:formatCode>0.0</c:formatCode>
                <c:ptCount val="20"/>
                <c:pt idx="0">
                  <c:v>21263.579155383006</c:v>
                </c:pt>
                <c:pt idx="1">
                  <c:v>22358.836477937966</c:v>
                </c:pt>
                <c:pt idx="2">
                  <c:v>23507.584899134108</c:v>
                </c:pt>
                <c:pt idx="3">
                  <c:v>24708.43060510288</c:v>
                </c:pt>
                <c:pt idx="4">
                  <c:v>25958.713401160123</c:v>
                </c:pt>
                <c:pt idx="5">
                  <c:v>27254.235583437341</c:v>
                </c:pt>
                <c:pt idx="6">
                  <c:v>28588.975299521313</c:v>
                </c:pt>
                <c:pt idx="7">
                  <c:v>29954.799360039273</c:v>
                </c:pt>
                <c:pt idx="8">
                  <c:v>31341.197611080468</c:v>
                </c:pt>
                <c:pt idx="9">
                  <c:v>32735.068903337436</c:v>
                </c:pt>
                <c:pt idx="10">
                  <c:v>34120.596430588637</c:v>
                </c:pt>
                <c:pt idx="11">
                  <c:v>35479.25618728371</c:v>
                </c:pt>
                <c:pt idx="12">
                  <c:v>36790.004349266303</c:v>
                </c:pt>
                <c:pt idx="13">
                  <c:v>38029.684982785075</c:v>
                </c:pt>
                <c:pt idx="14">
                  <c:v>39173.686265854114</c:v>
                </c:pt>
                <c:pt idx="15">
                  <c:v>40196.849998523787</c:v>
                </c:pt>
                <c:pt idx="16">
                  <c:v>41074.606247374344</c:v>
                </c:pt>
                <c:pt idx="17">
                  <c:v>41784.266068778124</c:v>
                </c:pt>
                <c:pt idx="18">
                  <c:v>42306.367045948005</c:v>
                </c:pt>
                <c:pt idx="19">
                  <c:v>42625.937724086456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15481242538419.479</c:v>
                </c:pt>
                <c:pt idx="1">
                  <c:v>9632482794797.8184</c:v>
                </c:pt>
                <c:pt idx="2">
                  <c:v>5629156958705.2695</c:v>
                </c:pt>
                <c:pt idx="3">
                  <c:v>3060871237833.5967</c:v>
                </c:pt>
                <c:pt idx="4">
                  <c:v>1531702339506.5461</c:v>
                </c:pt>
                <c:pt idx="5">
                  <c:v>696344187534.53235</c:v>
                </c:pt>
                <c:pt idx="6">
                  <c:v>283242208088.42511</c:v>
                </c:pt>
                <c:pt idx="7">
                  <c:v>101217768742.80086</c:v>
                </c:pt>
                <c:pt idx="8">
                  <c:v>31085874379.518738</c:v>
                </c:pt>
                <c:pt idx="9">
                  <c:v>7986853263.9881153</c:v>
                </c:pt>
                <c:pt idx="10">
                  <c:v>1659962319.5090621</c:v>
                </c:pt>
                <c:pt idx="11">
                  <c:v>267351263.95169073</c:v>
                </c:pt>
                <c:pt idx="12">
                  <c:v>31533285.769613594</c:v>
                </c:pt>
                <c:pt idx="13">
                  <c:v>2520915.5470687388</c:v>
                </c:pt>
                <c:pt idx="14">
                  <c:v>122237.57289587056</c:v>
                </c:pt>
                <c:pt idx="15">
                  <c:v>3033.9995984359316</c:v>
                </c:pt>
                <c:pt idx="16">
                  <c:v>29.092153664789475</c:v>
                </c:pt>
                <c:pt idx="17">
                  <c:v>6.3793292214553987E-2</c:v>
                </c:pt>
                <c:pt idx="18">
                  <c:v>9.8951284441897995E-6</c:v>
                </c:pt>
                <c:pt idx="19">
                  <c:v>2.5810716966541471E-12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25129.684456361734</c:v>
                </c:pt>
                <c:pt idx="1">
                  <c:v>26424.079473926686</c:v>
                </c:pt>
                <c:pt idx="2">
                  <c:v>27781.691244431215</c:v>
                </c:pt>
                <c:pt idx="3">
                  <c:v>29200.872533303402</c:v>
                </c:pt>
                <c:pt idx="4">
                  <c:v>30678.479474098323</c:v>
                </c:pt>
                <c:pt idx="5">
                  <c:v>32209.551144062312</c:v>
                </c:pt>
                <c:pt idx="6">
                  <c:v>33786.970808525184</c:v>
                </c:pt>
                <c:pt idx="7">
                  <c:v>35401.126516410048</c:v>
                </c:pt>
                <c:pt idx="8">
                  <c:v>37039.597176731462</c:v>
                </c:pt>
                <c:pt idx="9">
                  <c:v>38686.899613035152</c:v>
                </c:pt>
                <c:pt idx="10">
                  <c:v>40324.341236150205</c:v>
                </c:pt>
                <c:pt idx="11">
                  <c:v>41930.030039517107</c:v>
                </c:pt>
                <c:pt idx="12">
                  <c:v>43479.096049132902</c:v>
                </c:pt>
                <c:pt idx="13">
                  <c:v>44944.173161473271</c:v>
                </c:pt>
                <c:pt idx="14">
                  <c:v>46296.174677827585</c:v>
                </c:pt>
                <c:pt idx="15">
                  <c:v>47505.368180073565</c:v>
                </c:pt>
                <c:pt idx="16">
                  <c:v>48542.716474169676</c:v>
                </c:pt>
                <c:pt idx="17">
                  <c:v>49381.405354010509</c:v>
                </c:pt>
                <c:pt idx="18">
                  <c:v>49998.43378157491</c:v>
                </c:pt>
                <c:pt idx="19">
                  <c:v>50376.108219374895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6265198935815.6084</c:v>
                </c:pt>
                <c:pt idx="1">
                  <c:v>3560638289693.9561</c:v>
                </c:pt>
                <c:pt idx="2">
                  <c:v>1878756010370.855</c:v>
                </c:pt>
                <c:pt idx="3">
                  <c:v>910226016873.07715</c:v>
                </c:pt>
                <c:pt idx="4">
                  <c:v>399699956035.98828</c:v>
                </c:pt>
                <c:pt idx="5">
                  <c:v>156677201925.63156</c:v>
                </c:pt>
                <c:pt idx="6">
                  <c:v>53843352528.49411</c:v>
                </c:pt>
                <c:pt idx="7">
                  <c:v>15876915211.502783</c:v>
                </c:pt>
                <c:pt idx="8">
                  <c:v>3914072135.0913267</c:v>
                </c:pt>
                <c:pt idx="9">
                  <c:v>781467035.67635238</c:v>
                </c:pt>
                <c:pt idx="10">
                  <c:v>121446286.06257696</c:v>
                </c:pt>
                <c:pt idx="11">
                  <c:v>13964878.481662551</c:v>
                </c:pt>
                <c:pt idx="12">
                  <c:v>1111414.5788501424</c:v>
                </c:pt>
                <c:pt idx="13">
                  <c:v>55875.906601682567</c:v>
                </c:pt>
                <c:pt idx="14">
                  <c:v>1556.3327024097766</c:v>
                </c:pt>
                <c:pt idx="15">
                  <c:v>19.654215367107337</c:v>
                </c:pt>
                <c:pt idx="16">
                  <c:v>8.0702355802826031E-2</c:v>
                </c:pt>
                <c:pt idx="17">
                  <c:v>5.7985115399937044E-5</c:v>
                </c:pt>
                <c:pt idx="18">
                  <c:v>1.8219352177046658E-9</c:v>
                </c:pt>
                <c:pt idx="19">
                  <c:v>3.0156928040827892E-17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28995.789757340463</c:v>
                </c:pt>
                <c:pt idx="1">
                  <c:v>30489.322469915413</c:v>
                </c:pt>
                <c:pt idx="2">
                  <c:v>32055.797589728329</c:v>
                </c:pt>
                <c:pt idx="3">
                  <c:v>33693.314461503927</c:v>
                </c:pt>
                <c:pt idx="4">
                  <c:v>35398.245547036531</c:v>
                </c:pt>
                <c:pt idx="5">
                  <c:v>37164.866704687287</c:v>
                </c:pt>
                <c:pt idx="6">
                  <c:v>38984.966317529063</c:v>
                </c:pt>
                <c:pt idx="7">
                  <c:v>40847.453672780823</c:v>
                </c:pt>
                <c:pt idx="8">
                  <c:v>42737.996742382456</c:v>
                </c:pt>
                <c:pt idx="9">
                  <c:v>44638.730322732867</c:v>
                </c:pt>
                <c:pt idx="10">
                  <c:v>46528.086041711773</c:v>
                </c:pt>
                <c:pt idx="11">
                  <c:v>48380.803891750518</c:v>
                </c:pt>
                <c:pt idx="12">
                  <c:v>50168.187748999509</c:v>
                </c:pt>
                <c:pt idx="13">
                  <c:v>51858.661340161467</c:v>
                </c:pt>
                <c:pt idx="14">
                  <c:v>53418.663089801063</c:v>
                </c:pt>
                <c:pt idx="15">
                  <c:v>54813.886361623343</c:v>
                </c:pt>
                <c:pt idx="16">
                  <c:v>56010.826700965015</c:v>
                </c:pt>
                <c:pt idx="17">
                  <c:v>56978.5446392429</c:v>
                </c:pt>
                <c:pt idx="18">
                  <c:v>57690.500517201828</c:v>
                </c:pt>
                <c:pt idx="19">
                  <c:v>58126.278714663349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2542341243446.5303</c:v>
                </c:pt>
                <c:pt idx="1">
                  <c:v>1319523687029.4817</c:v>
                </c:pt>
                <c:pt idx="2">
                  <c:v>628533037355.38782</c:v>
                </c:pt>
                <c:pt idx="3">
                  <c:v>271279233502.06927</c:v>
                </c:pt>
                <c:pt idx="4">
                  <c:v>104517984626.3847</c:v>
                </c:pt>
                <c:pt idx="5">
                  <c:v>35320010716.337563</c:v>
                </c:pt>
                <c:pt idx="6">
                  <c:v>10253625421.709265</c:v>
                </c:pt>
                <c:pt idx="7">
                  <c:v>2494520615.7718</c:v>
                </c:pt>
                <c:pt idx="8">
                  <c:v>493570341.25715357</c:v>
                </c:pt>
                <c:pt idx="9">
                  <c:v>76567721.216957465</c:v>
                </c:pt>
                <c:pt idx="10">
                  <c:v>8896494.2713431437</c:v>
                </c:pt>
                <c:pt idx="11">
                  <c:v>730285.17467993754</c:v>
                </c:pt>
                <c:pt idx="12">
                  <c:v>39213.767906305198</c:v>
                </c:pt>
                <c:pt idx="13">
                  <c:v>1239.668316373122</c:v>
                </c:pt>
                <c:pt idx="14">
                  <c:v>19.83252328340507</c:v>
                </c:pt>
                <c:pt idx="15">
                  <c:v>0.12742113004924946</c:v>
                </c:pt>
                <c:pt idx="16">
                  <c:v>2.2403447978385969E-4</c:v>
                </c:pt>
                <c:pt idx="17">
                  <c:v>5.2741754071317631E-8</c:v>
                </c:pt>
                <c:pt idx="18">
                  <c:v>3.3567968253238093E-13</c:v>
                </c:pt>
                <c:pt idx="19">
                  <c:v>3.5256976842257859E-22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[photons/ s /0.1% BW]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constants'!$K$5:$K$24</c:f>
              <c:numCache>
                <c:formatCode>0.0</c:formatCode>
                <c:ptCount val="20"/>
                <c:pt idx="0">
                  <c:v>1933.0526504893642</c:v>
                </c:pt>
                <c:pt idx="1">
                  <c:v>2032.6214979943607</c:v>
                </c:pt>
                <c:pt idx="2">
                  <c:v>2137.0531726485551</c:v>
                </c:pt>
                <c:pt idx="3">
                  <c:v>2246.2209641002619</c:v>
                </c:pt>
                <c:pt idx="4">
                  <c:v>2359.8830364691021</c:v>
                </c:pt>
                <c:pt idx="5">
                  <c:v>2477.6577803124856</c:v>
                </c:pt>
                <c:pt idx="6">
                  <c:v>2598.9977545019374</c:v>
                </c:pt>
                <c:pt idx="7">
                  <c:v>2723.1635781853884</c:v>
                </c:pt>
                <c:pt idx="8">
                  <c:v>2849.1997828254971</c:v>
                </c:pt>
                <c:pt idx="9">
                  <c:v>2975.915354848858</c:v>
                </c:pt>
                <c:pt idx="10">
                  <c:v>3101.8724027807848</c:v>
                </c:pt>
                <c:pt idx="11">
                  <c:v>3225.386926116701</c:v>
                </c:pt>
                <c:pt idx="12">
                  <c:v>3344.5458499333004</c:v>
                </c:pt>
                <c:pt idx="13">
                  <c:v>3457.2440893440976</c:v>
                </c:pt>
                <c:pt idx="14">
                  <c:v>3561.2442059867376</c:v>
                </c:pt>
                <c:pt idx="15">
                  <c:v>3654.2590907748895</c:v>
                </c:pt>
                <c:pt idx="16">
                  <c:v>3734.0551133976678</c:v>
                </c:pt>
                <c:pt idx="17">
                  <c:v>3798.5696426161931</c:v>
                </c:pt>
                <c:pt idx="18">
                  <c:v>3846.0333678134548</c:v>
                </c:pt>
                <c:pt idx="19">
                  <c:v>3875.0852476442233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1.4336079311392502E+21</c:v>
                </c:pt>
                <c:pt idx="1">
                  <c:v>1.46740653935258E+21</c:v>
                </c:pt>
                <c:pt idx="2">
                  <c:v>1.4932542252745378E+21</c:v>
                </c:pt>
                <c:pt idx="3">
                  <c:v>1.5091516808167686E+21</c:v>
                </c:pt>
                <c:pt idx="4">
                  <c:v>1.5129509463157724E+21</c:v>
                </c:pt>
                <c:pt idx="5">
                  <c:v>1.5024371321159258E+21</c:v>
                </c:pt>
                <c:pt idx="6">
                  <c:v>1.4754516555844296E+21</c:v>
                </c:pt>
                <c:pt idx="7">
                  <c:v>1.4300628433193741E+21</c:v>
                </c:pt>
                <c:pt idx="8">
                  <c:v>1.3647854310891955E+21</c:v>
                </c:pt>
                <c:pt idx="9">
                  <c:v>1.2788430873207141E+21</c:v>
                </c:pt>
                <c:pt idx="10">
                  <c:v>1.1724573416604859E+21</c:v>
                </c:pt>
                <c:pt idx="11">
                  <c:v>1.0471328477934605E+21</c:v>
                </c:pt>
                <c:pt idx="12">
                  <c:v>9.0589472956895566E+20</c:v>
                </c:pt>
                <c:pt idx="13">
                  <c:v>7.5342244548740212E+20</c:v>
                </c:pt>
                <c:pt idx="14">
                  <c:v>5.9602108948564961E+20</c:v>
                </c:pt>
                <c:pt idx="15">
                  <c:v>4.4138047408240768E+20</c:v>
                </c:pt>
                <c:pt idx="16">
                  <c:v>2.9809808234059596E+20</c:v>
                </c:pt>
                <c:pt idx="17">
                  <c:v>1.7498321813505448E+20</c:v>
                </c:pt>
                <c:pt idx="18">
                  <c:v>8.0209721629149086E+19</c:v>
                </c:pt>
                <c:pt idx="19">
                  <c:v>2.0431107140529848E+19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constants'!$N$5:$N$24</c:f>
              <c:numCache>
                <c:formatCode>0.0</c:formatCode>
                <c:ptCount val="20"/>
                <c:pt idx="0">
                  <c:v>5799.1579514680925</c:v>
                </c:pt>
                <c:pt idx="1">
                  <c:v>6097.864493983082</c:v>
                </c:pt>
                <c:pt idx="2">
                  <c:v>6411.1595179456654</c:v>
                </c:pt>
                <c:pt idx="3">
                  <c:v>6738.6628923007847</c:v>
                </c:pt>
                <c:pt idx="4">
                  <c:v>7079.6491094073053</c:v>
                </c:pt>
                <c:pt idx="5">
                  <c:v>7432.9733409374567</c:v>
                </c:pt>
                <c:pt idx="6">
                  <c:v>7796.9932635058121</c:v>
                </c:pt>
                <c:pt idx="7">
                  <c:v>8169.4907345561651</c:v>
                </c:pt>
                <c:pt idx="8">
                  <c:v>8547.5993484764913</c:v>
                </c:pt>
                <c:pt idx="9">
                  <c:v>8927.7460645465726</c:v>
                </c:pt>
                <c:pt idx="10">
                  <c:v>9305.6172083423553</c:v>
                </c:pt>
                <c:pt idx="11">
                  <c:v>9676.1607783501022</c:v>
                </c:pt>
                <c:pt idx="12">
                  <c:v>10033.637549799902</c:v>
                </c:pt>
                <c:pt idx="13">
                  <c:v>10371.732268032292</c:v>
                </c:pt>
                <c:pt idx="14">
                  <c:v>10683.732617960211</c:v>
                </c:pt>
                <c:pt idx="15">
                  <c:v>10962.777272324669</c:v>
                </c:pt>
                <c:pt idx="16">
                  <c:v>11202.165340193003</c:v>
                </c:pt>
                <c:pt idx="17">
                  <c:v>11395.70892784858</c:v>
                </c:pt>
                <c:pt idx="18">
                  <c:v>11538.100103440365</c:v>
                </c:pt>
                <c:pt idx="19">
                  <c:v>11625.25574293267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1.4310260105283046E+21</c:v>
                </c:pt>
                <c:pt idx="1">
                  <c:v>1.3304213713405419E+21</c:v>
                </c:pt>
                <c:pt idx="2">
                  <c:v>1.2158672467835609E+21</c:v>
                </c:pt>
                <c:pt idx="3">
                  <c:v>1.0893469178864568E+21</c:v>
                </c:pt>
                <c:pt idx="4">
                  <c:v>9.5379919045612129E+20</c:v>
                </c:pt>
                <c:pt idx="5">
                  <c:v>8.1310113664717632E+20</c:v>
                </c:pt>
                <c:pt idx="6">
                  <c:v>6.7192459675380207E+20</c:v>
                </c:pt>
                <c:pt idx="7">
                  <c:v>5.3543974246881958E+20</c:v>
                </c:pt>
                <c:pt idx="8">
                  <c:v>4.088623611412309E+20</c:v>
                </c:pt>
                <c:pt idx="9">
                  <c:v>2.9687951471783353E+20</c:v>
                </c:pt>
                <c:pt idx="10">
                  <c:v>2.0303584273279428E+20</c:v>
                </c:pt>
                <c:pt idx="11">
                  <c:v>1.2920676860237367E+20</c:v>
                </c:pt>
                <c:pt idx="12">
                  <c:v>7.5304609156073357E+19</c:v>
                </c:pt>
                <c:pt idx="13">
                  <c:v>3.9337547050385138E+19</c:v>
                </c:pt>
                <c:pt idx="14">
                  <c:v>1.7859422314150081E+19</c:v>
                </c:pt>
                <c:pt idx="15">
                  <c:v>6.7249082401023222E+18</c:v>
                </c:pt>
                <c:pt idx="16">
                  <c:v>1.9441224020864348E+18</c:v>
                </c:pt>
                <c:pt idx="17">
                  <c:v>3.7383932242601754E+17</c:v>
                </c:pt>
                <c:pt idx="18">
                  <c:v>3.470787739412984E+16</c:v>
                </c:pt>
                <c:pt idx="19">
                  <c:v>560973134111257.88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constants'!$Q$5:$Q$24</c:f>
              <c:numCache>
                <c:formatCode>0.0</c:formatCode>
                <c:ptCount val="20"/>
                <c:pt idx="0">
                  <c:v>9665.2632524468208</c:v>
                </c:pt>
                <c:pt idx="1">
                  <c:v>10163.107489971804</c:v>
                </c:pt>
                <c:pt idx="2">
                  <c:v>10685.265863242776</c:v>
                </c:pt>
                <c:pt idx="3">
                  <c:v>11231.104820501308</c:v>
                </c:pt>
                <c:pt idx="4">
                  <c:v>11799.41518234551</c:v>
                </c:pt>
                <c:pt idx="5">
                  <c:v>12388.28890156243</c:v>
                </c:pt>
                <c:pt idx="6">
                  <c:v>12994.988772509689</c:v>
                </c:pt>
                <c:pt idx="7">
                  <c:v>13615.817890926943</c:v>
                </c:pt>
                <c:pt idx="8">
                  <c:v>14245.998914127487</c:v>
                </c:pt>
                <c:pt idx="9">
                  <c:v>14879.576774244289</c:v>
                </c:pt>
                <c:pt idx="10">
                  <c:v>15509.362013903925</c:v>
                </c:pt>
                <c:pt idx="11">
                  <c:v>16126.934630583504</c:v>
                </c:pt>
                <c:pt idx="12">
                  <c:v>16722.729249666503</c:v>
                </c:pt>
                <c:pt idx="13">
                  <c:v>17286.22044672049</c:v>
                </c:pt>
                <c:pt idx="14">
                  <c:v>17806.221029933688</c:v>
                </c:pt>
                <c:pt idx="15">
                  <c:v>18271.295453874449</c:v>
                </c:pt>
                <c:pt idx="16">
                  <c:v>18670.275566988341</c:v>
                </c:pt>
                <c:pt idx="17">
                  <c:v>18992.848213080968</c:v>
                </c:pt>
                <c:pt idx="18">
                  <c:v>19230.166839067275</c:v>
                </c:pt>
                <c:pt idx="19">
                  <c:v>19375.426238221116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8.3217049678143344E+20</c:v>
                </c:pt>
                <c:pt idx="1">
                  <c:v>7.0475793460009343E+20</c:v>
                </c:pt>
                <c:pt idx="2">
                  <c:v>5.8003430622379809E+20</c:v>
                </c:pt>
                <c:pt idx="3">
                  <c:v>4.6189953920968321E+20</c:v>
                </c:pt>
                <c:pt idx="4">
                  <c:v>3.5407151928747262E+20</c:v>
                </c:pt>
                <c:pt idx="5">
                  <c:v>2.5969380933760244E+20</c:v>
                </c:pt>
                <c:pt idx="6">
                  <c:v>1.8094946454674244E+20</c:v>
                </c:pt>
                <c:pt idx="7">
                  <c:v>1.187625031974653E+20</c:v>
                </c:pt>
                <c:pt idx="8">
                  <c:v>7.2672568344679514E+19</c:v>
                </c:pt>
                <c:pt idx="9">
                  <c:v>4.0943441372789326E+19</c:v>
                </c:pt>
                <c:pt idx="10">
                  <c:v>2.0909498750649258E+19</c:v>
                </c:pt>
                <c:pt idx="11">
                  <c:v>9.4888832747171594E+18</c:v>
                </c:pt>
                <c:pt idx="12">
                  <c:v>3.7279195131731502E+18</c:v>
                </c:pt>
                <c:pt idx="13">
                  <c:v>1.2236173070612974E+18</c:v>
                </c:pt>
                <c:pt idx="14">
                  <c:v>3.188879490097177E+17</c:v>
                </c:pt>
                <c:pt idx="15">
                  <c:v>6.1060785251950344E+16</c:v>
                </c:pt>
                <c:pt idx="16">
                  <c:v>7555940428437525</c:v>
                </c:pt>
                <c:pt idx="17">
                  <c:v>475936719599002.19</c:v>
                </c:pt>
                <c:pt idx="18">
                  <c:v>8948979748513.7266</c:v>
                </c:pt>
                <c:pt idx="19">
                  <c:v>9177241813.3702259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constants'!$T$5:$T$24</c:f>
              <c:numCache>
                <c:formatCode>0.0</c:formatCode>
                <c:ptCount val="20"/>
                <c:pt idx="0">
                  <c:v>13531.368553425549</c:v>
                </c:pt>
                <c:pt idx="1">
                  <c:v>14228.350485960525</c:v>
                </c:pt>
                <c:pt idx="2">
                  <c:v>14959.372208539888</c:v>
                </c:pt>
                <c:pt idx="3">
                  <c:v>15723.546748701834</c:v>
                </c:pt>
                <c:pt idx="4">
                  <c:v>16519.181255283715</c:v>
                </c:pt>
                <c:pt idx="5">
                  <c:v>17343.604462187403</c:v>
                </c:pt>
                <c:pt idx="6">
                  <c:v>18192.984281513563</c:v>
                </c:pt>
                <c:pt idx="7">
                  <c:v>19062.145047297719</c:v>
                </c:pt>
                <c:pt idx="8">
                  <c:v>19944.398479778483</c:v>
                </c:pt>
                <c:pt idx="9">
                  <c:v>20831.407483942006</c:v>
                </c:pt>
                <c:pt idx="10">
                  <c:v>21713.106819465494</c:v>
                </c:pt>
                <c:pt idx="11">
                  <c:v>22577.708482816906</c:v>
                </c:pt>
                <c:pt idx="12">
                  <c:v>23411.820949533103</c:v>
                </c:pt>
                <c:pt idx="13">
                  <c:v>24200.708625408686</c:v>
                </c:pt>
                <c:pt idx="14">
                  <c:v>24928.709441907165</c:v>
                </c:pt>
                <c:pt idx="15">
                  <c:v>25579.813635424231</c:v>
                </c:pt>
                <c:pt idx="16">
                  <c:v>26138.385793783676</c:v>
                </c:pt>
                <c:pt idx="17">
                  <c:v>26589.987498313352</c:v>
                </c:pt>
                <c:pt idx="18">
                  <c:v>26922.233574694186</c:v>
                </c:pt>
                <c:pt idx="19">
                  <c:v>27125.596733509563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4.2148993731112206E+20</c:v>
                </c:pt>
                <c:pt idx="1">
                  <c:v>3.254469802471209E+20</c:v>
                </c:pt>
                <c:pt idx="2">
                  <c:v>2.4141691899901677E+20</c:v>
                </c:pt>
                <c:pt idx="3">
                  <c:v>1.7100478342433666E+20</c:v>
                </c:pt>
                <c:pt idx="4">
                  <c:v>1.1484490249013905E+20</c:v>
                </c:pt>
                <c:pt idx="5">
                  <c:v>7.2517955952675152E+19</c:v>
                </c:pt>
                <c:pt idx="6">
                  <c:v>4.2629773262283932E+19</c:v>
                </c:pt>
                <c:pt idx="7">
                  <c:v>2.3056317087698661E+19</c:v>
                </c:pt>
                <c:pt idx="8">
                  <c:v>1.1310946101672673E+19</c:v>
                </c:pt>
                <c:pt idx="9">
                  <c:v>4.9463729603700337E+18</c:v>
                </c:pt>
                <c:pt idx="10">
                  <c:v>1.8868912177431291E+18</c:v>
                </c:pt>
                <c:pt idx="11">
                  <c:v>6.1077720711216154E+17</c:v>
                </c:pt>
                <c:pt idx="12">
                  <c:v>1.6178130156639475E+17</c:v>
                </c:pt>
                <c:pt idx="13">
                  <c:v>3.3369961807141084E+16</c:v>
                </c:pt>
                <c:pt idx="14">
                  <c:v>4992462928547404</c:v>
                </c:pt>
                <c:pt idx="15">
                  <c:v>486140852752133.06</c:v>
                </c:pt>
                <c:pt idx="16">
                  <c:v>25750325998276.906</c:v>
                </c:pt>
                <c:pt idx="17">
                  <c:v>531301266296.51666</c:v>
                </c:pt>
                <c:pt idx="18">
                  <c:v>2023212049.5347285</c:v>
                </c:pt>
                <c:pt idx="19">
                  <c:v>131643.7148799992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constants'!$W$5:$W$24</c:f>
              <c:numCache>
                <c:formatCode>0.0</c:formatCode>
                <c:ptCount val="20"/>
                <c:pt idx="0">
                  <c:v>17397.473854404278</c:v>
                </c:pt>
                <c:pt idx="1">
                  <c:v>18293.593481949247</c:v>
                </c:pt>
                <c:pt idx="2">
                  <c:v>19233.478553836998</c:v>
                </c:pt>
                <c:pt idx="3">
                  <c:v>20215.988676902358</c:v>
                </c:pt>
                <c:pt idx="4">
                  <c:v>21238.947328221919</c:v>
                </c:pt>
                <c:pt idx="5">
                  <c:v>22298.920022812374</c:v>
                </c:pt>
                <c:pt idx="6">
                  <c:v>23390.979790517438</c:v>
                </c:pt>
                <c:pt idx="7">
                  <c:v>24508.472203668498</c:v>
                </c:pt>
                <c:pt idx="8">
                  <c:v>25642.798045429477</c:v>
                </c:pt>
                <c:pt idx="9">
                  <c:v>26783.238193639721</c:v>
                </c:pt>
                <c:pt idx="10">
                  <c:v>27916.851625027066</c:v>
                </c:pt>
                <c:pt idx="11">
                  <c:v>29028.48233505031</c:v>
                </c:pt>
                <c:pt idx="12">
                  <c:v>30100.912649399706</c:v>
                </c:pt>
                <c:pt idx="13">
                  <c:v>31115.196804096882</c:v>
                </c:pt>
                <c:pt idx="14">
                  <c:v>32051.19785388064</c:v>
                </c:pt>
                <c:pt idx="15">
                  <c:v>32888.331816974009</c:v>
                </c:pt>
                <c:pt idx="16">
                  <c:v>33606.496020579012</c:v>
                </c:pt>
                <c:pt idx="17">
                  <c:v>34187.12678354574</c:v>
                </c:pt>
                <c:pt idx="18">
                  <c:v>34614.300310321094</c:v>
                </c:pt>
                <c:pt idx="19">
                  <c:v>34875.767228798009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2.0062669920360022E+20</c:v>
                </c:pt>
                <c:pt idx="1">
                  <c:v>1.4129011461417216E+20</c:v>
                </c:pt>
                <c:pt idx="2">
                  <c:v>9.4499060802733834E+19</c:v>
                </c:pt>
                <c:pt idx="3">
                  <c:v>5.9560545572206518E+19</c:v>
                </c:pt>
                <c:pt idx="4">
                  <c:v>3.505540685216514E+19</c:v>
                </c:pt>
                <c:pt idx="5">
                  <c:v>1.9062222089764213E+19</c:v>
                </c:pt>
                <c:pt idx="6">
                  <c:v>9.4563260227688837E+18</c:v>
                </c:pt>
                <c:pt idx="7">
                  <c:v>4.2155267786762911E+18</c:v>
                </c:pt>
                <c:pt idx="8">
                  <c:v>1.6583037258583081E+18</c:v>
                </c:pt>
                <c:pt idx="9">
                  <c:v>5.6298809472355962E+17</c:v>
                </c:pt>
                <c:pt idx="10">
                  <c:v>1.6044304710603104E+17</c:v>
                </c:pt>
                <c:pt idx="11">
                  <c:v>3.70484886733374E+16</c:v>
                </c:pt>
                <c:pt idx="12">
                  <c:v>6616800868111430</c:v>
                </c:pt>
                <c:pt idx="13">
                  <c:v>857731768205288.75</c:v>
                </c:pt>
                <c:pt idx="14">
                  <c:v>73670911472073.328</c:v>
                </c:pt>
                <c:pt idx="15">
                  <c:v>3648191647193.415</c:v>
                </c:pt>
                <c:pt idx="16">
                  <c:v>82717693652.909027</c:v>
                </c:pt>
                <c:pt idx="17">
                  <c:v>559056698.63300335</c:v>
                </c:pt>
                <c:pt idx="18">
                  <c:v>431154.07308799081</c:v>
                </c:pt>
                <c:pt idx="19">
                  <c:v>1.7799612894417078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constants'!$Z$5:$Z$24</c:f>
              <c:numCache>
                <c:formatCode>0.0</c:formatCode>
                <c:ptCount val="20"/>
                <c:pt idx="0">
                  <c:v>21263.579155383006</c:v>
                </c:pt>
                <c:pt idx="1">
                  <c:v>22358.836477937966</c:v>
                </c:pt>
                <c:pt idx="2">
                  <c:v>23507.584899134108</c:v>
                </c:pt>
                <c:pt idx="3">
                  <c:v>24708.43060510288</c:v>
                </c:pt>
                <c:pt idx="4">
                  <c:v>25958.713401160123</c:v>
                </c:pt>
                <c:pt idx="5">
                  <c:v>27254.235583437341</c:v>
                </c:pt>
                <c:pt idx="6">
                  <c:v>28588.975299521313</c:v>
                </c:pt>
                <c:pt idx="7">
                  <c:v>29954.799360039273</c:v>
                </c:pt>
                <c:pt idx="8">
                  <c:v>31341.197611080468</c:v>
                </c:pt>
                <c:pt idx="9">
                  <c:v>32735.068903337436</c:v>
                </c:pt>
                <c:pt idx="10">
                  <c:v>34120.596430588637</c:v>
                </c:pt>
                <c:pt idx="11">
                  <c:v>35479.25618728371</c:v>
                </c:pt>
                <c:pt idx="12">
                  <c:v>36790.004349266303</c:v>
                </c:pt>
                <c:pt idx="13">
                  <c:v>38029.684982785075</c:v>
                </c:pt>
                <c:pt idx="14">
                  <c:v>39173.686265854114</c:v>
                </c:pt>
                <c:pt idx="15">
                  <c:v>40196.849998523787</c:v>
                </c:pt>
                <c:pt idx="16">
                  <c:v>41074.606247374344</c:v>
                </c:pt>
                <c:pt idx="17">
                  <c:v>41784.266068778124</c:v>
                </c:pt>
                <c:pt idx="18">
                  <c:v>42306.367045948005</c:v>
                </c:pt>
                <c:pt idx="19">
                  <c:v>42625.937724086456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9.2221682489416303E+19</c:v>
                </c:pt>
                <c:pt idx="1">
                  <c:v>5.9247719480040161E+19</c:v>
                </c:pt>
                <c:pt idx="2">
                  <c:v>3.5735172774834078E+19</c:v>
                </c:pt>
                <c:pt idx="3">
                  <c:v>2.0044375764327768E+19</c:v>
                </c:pt>
                <c:pt idx="4">
                  <c:v>1.0340726168256696E+19</c:v>
                </c:pt>
                <c:pt idx="5">
                  <c:v>4.8430369076263414E+18</c:v>
                </c:pt>
                <c:pt idx="6">
                  <c:v>2.0277098093719713E+18</c:v>
                </c:pt>
                <c:pt idx="7">
                  <c:v>7.4514258435856576E+17</c:v>
                </c:pt>
                <c:pt idx="8">
                  <c:v>2.3507172666460237E+17</c:v>
                </c:pt>
                <c:pt idx="9">
                  <c:v>6.1961532872767768E+16</c:v>
                </c:pt>
                <c:pt idx="10">
                  <c:v>1.3192855970390226E+16</c:v>
                </c:pt>
                <c:pt idx="11">
                  <c:v>2173348390339166</c:v>
                </c:pt>
                <c:pt idx="12">
                  <c:v>261734243288299.44</c:v>
                </c:pt>
                <c:pt idx="13">
                  <c:v>21323390717467.164</c:v>
                </c:pt>
                <c:pt idx="14">
                  <c:v>1051472019650.9945</c:v>
                </c:pt>
                <c:pt idx="15">
                  <c:v>26480193096.821224</c:v>
                </c:pt>
                <c:pt idx="16">
                  <c:v>257007871.60128438</c:v>
                </c:pt>
                <c:pt idx="17">
                  <c:v>568990.86520625639</c:v>
                </c:pt>
                <c:pt idx="18">
                  <c:v>88.870734442062428</c:v>
                </c:pt>
                <c:pt idx="19">
                  <c:v>2.3278569851766418E-5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25129.684456361734</c:v>
                </c:pt>
                <c:pt idx="1">
                  <c:v>26424.079473926686</c:v>
                </c:pt>
                <c:pt idx="2">
                  <c:v>27781.691244431215</c:v>
                </c:pt>
                <c:pt idx="3">
                  <c:v>29200.872533303402</c:v>
                </c:pt>
                <c:pt idx="4">
                  <c:v>30678.479474098323</c:v>
                </c:pt>
                <c:pt idx="5">
                  <c:v>32209.551144062312</c:v>
                </c:pt>
                <c:pt idx="6">
                  <c:v>33786.970808525184</c:v>
                </c:pt>
                <c:pt idx="7">
                  <c:v>35401.126516410048</c:v>
                </c:pt>
                <c:pt idx="8">
                  <c:v>37039.597176731462</c:v>
                </c:pt>
                <c:pt idx="9">
                  <c:v>38686.899613035152</c:v>
                </c:pt>
                <c:pt idx="10">
                  <c:v>40324.341236150205</c:v>
                </c:pt>
                <c:pt idx="11">
                  <c:v>41930.030039517107</c:v>
                </c:pt>
                <c:pt idx="12">
                  <c:v>43479.096049132902</c:v>
                </c:pt>
                <c:pt idx="13">
                  <c:v>44944.173161473271</c:v>
                </c:pt>
                <c:pt idx="14">
                  <c:v>46296.174677827585</c:v>
                </c:pt>
                <c:pt idx="15">
                  <c:v>47505.368180073565</c:v>
                </c:pt>
                <c:pt idx="16">
                  <c:v>48542.716474169676</c:v>
                </c:pt>
                <c:pt idx="17">
                  <c:v>49381.405354010509</c:v>
                </c:pt>
                <c:pt idx="18">
                  <c:v>49998.43378157491</c:v>
                </c:pt>
                <c:pt idx="19">
                  <c:v>50376.108219374895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4.1459936651101241E+19</c:v>
                </c:pt>
                <c:pt idx="1">
                  <c:v>2.4301472205378433E+19</c:v>
                </c:pt>
                <c:pt idx="2">
                  <c:v>1.3219413270141211E+19</c:v>
                </c:pt>
                <c:pt idx="3">
                  <c:v>6.5996068238574889E+18</c:v>
                </c:pt>
                <c:pt idx="4">
                  <c:v>2.9845534058921411E+18</c:v>
                </c:pt>
                <c:pt idx="5">
                  <c:v>1.204014597253641E+18</c:v>
                </c:pt>
                <c:pt idx="6">
                  <c:v>4.2549360154236032E+17</c:v>
                </c:pt>
                <c:pt idx="7">
                  <c:v>1.2890256727751085E+17</c:v>
                </c:pt>
                <c:pt idx="8">
                  <c:v>3.2613599044271104E+16</c:v>
                </c:pt>
                <c:pt idx="9">
                  <c:v>6674688265964318</c:v>
                </c:pt>
                <c:pt idx="10">
                  <c:v>1061849653628431</c:v>
                </c:pt>
                <c:pt idx="11">
                  <c:v>124799098230816.67</c:v>
                </c:pt>
                <c:pt idx="12">
                  <c:v>10134676730300.973</c:v>
                </c:pt>
                <c:pt idx="13">
                  <c:v>518929563485.93365</c:v>
                </c:pt>
                <c:pt idx="14">
                  <c:v>14691104933.2402</c:v>
                </c:pt>
                <c:pt idx="15">
                  <c:v>188158988.6493068</c:v>
                </c:pt>
                <c:pt idx="16">
                  <c:v>781732.28921891283</c:v>
                </c:pt>
                <c:pt idx="17">
                  <c:v>566.91793730743655</c:v>
                </c:pt>
                <c:pt idx="18">
                  <c:v>1.79329361263387E-2</c:v>
                </c:pt>
                <c:pt idx="19">
                  <c:v>2.9803600807470776E-10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28995.789757340463</c:v>
                </c:pt>
                <c:pt idx="1">
                  <c:v>30489.322469915413</c:v>
                </c:pt>
                <c:pt idx="2">
                  <c:v>32055.797589728329</c:v>
                </c:pt>
                <c:pt idx="3">
                  <c:v>33693.314461503927</c:v>
                </c:pt>
                <c:pt idx="4">
                  <c:v>35398.245547036531</c:v>
                </c:pt>
                <c:pt idx="5">
                  <c:v>37164.866704687287</c:v>
                </c:pt>
                <c:pt idx="6">
                  <c:v>38984.966317529063</c:v>
                </c:pt>
                <c:pt idx="7">
                  <c:v>40847.453672780823</c:v>
                </c:pt>
                <c:pt idx="8">
                  <c:v>42737.996742382456</c:v>
                </c:pt>
                <c:pt idx="9">
                  <c:v>44638.730322732867</c:v>
                </c:pt>
                <c:pt idx="10">
                  <c:v>46528.086041711773</c:v>
                </c:pt>
                <c:pt idx="11">
                  <c:v>48380.803891750518</c:v>
                </c:pt>
                <c:pt idx="12">
                  <c:v>50168.187748999509</c:v>
                </c:pt>
                <c:pt idx="13">
                  <c:v>51858.661340161467</c:v>
                </c:pt>
                <c:pt idx="14">
                  <c:v>53418.663089801063</c:v>
                </c:pt>
                <c:pt idx="15">
                  <c:v>54813.886361623343</c:v>
                </c:pt>
                <c:pt idx="16">
                  <c:v>56010.826700965015</c:v>
                </c:pt>
                <c:pt idx="17">
                  <c:v>56978.5446392429</c:v>
                </c:pt>
                <c:pt idx="18">
                  <c:v>57690.500517201828</c:v>
                </c:pt>
                <c:pt idx="19">
                  <c:v>58126.278714663349</c:v>
                </c:pt>
              </c:numCache>
            </c:numRef>
          </c:xVal>
          <c:yVal>
            <c:numRef>
              <c:f>'Electron beam and constants'!$AH$5:$AH$24</c:f>
              <c:numCache>
                <c:formatCode>0.000000E+00</c:formatCode>
                <c:ptCount val="20"/>
                <c:pt idx="0">
                  <c:v>1.8355571837701661E+19</c:v>
                </c:pt>
                <c:pt idx="1">
                  <c:v>9.8167709422946693E+18</c:v>
                </c:pt>
                <c:pt idx="2">
                  <c:v>4.81651840284194E+18</c:v>
                </c:pt>
                <c:pt idx="3">
                  <c:v>2.1403072369433951E+18</c:v>
                </c:pt>
                <c:pt idx="4">
                  <c:v>8.4852784446002624E+17</c:v>
                </c:pt>
                <c:pt idx="5">
                  <c:v>2.948683237855984E+17</c:v>
                </c:pt>
                <c:pt idx="6">
                  <c:v>8.7959883926709632E+16</c:v>
                </c:pt>
                <c:pt idx="7">
                  <c:v>2.19688884266197E+16</c:v>
                </c:pt>
                <c:pt idx="8">
                  <c:v>4457991654783855</c:v>
                </c:pt>
                <c:pt idx="9">
                  <c:v>708431300328997.25</c:v>
                </c:pt>
                <c:pt idx="10">
                  <c:v>84209042142196.859</c:v>
                </c:pt>
                <c:pt idx="11">
                  <c:v>7061166513041.2578</c:v>
                </c:pt>
                <c:pt idx="12">
                  <c:v>386679798273.6424</c:v>
                </c:pt>
                <c:pt idx="13">
                  <c:v>12444003308.092318</c:v>
                </c:pt>
                <c:pt idx="14">
                  <c:v>202262913.82850128</c:v>
                </c:pt>
                <c:pt idx="15">
                  <c:v>1317460.9626547582</c:v>
                </c:pt>
                <c:pt idx="16">
                  <c:v>2343.0482158209047</c:v>
                </c:pt>
                <c:pt idx="17">
                  <c:v>0.55660643751740302</c:v>
                </c:pt>
                <c:pt idx="18">
                  <c:v>3.5658085040560204E-6</c:v>
                </c:pt>
                <c:pt idx="19">
                  <c:v>3.7600668286697274E-15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logBase val="10"/>
          <c:orientation val="minMax"/>
          <c:min val="800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  <a:r>
                  <a:rPr lang="pt-BR" sz="1200" b="1" i="0" u="none" strike="noStrike" baseline="0">
                    <a:effectLst/>
                  </a:rPr>
                  <a:t> [photons/ s / mm² / mrad² / 0.1% BW]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9907063778623234E-2"/>
              <c:y val="0.15938395044240453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Magnet'!$L$3:$L$7</c:f>
              <c:numCache>
                <c:formatCode>General</c:formatCode>
                <c:ptCount val="5"/>
                <c:pt idx="0">
                  <c:v>-3.5</c:v>
                </c:pt>
                <c:pt idx="1">
                  <c:v>3.5</c:v>
                </c:pt>
                <c:pt idx="2">
                  <c:v>3.5</c:v>
                </c:pt>
                <c:pt idx="3">
                  <c:v>-3.5</c:v>
                </c:pt>
                <c:pt idx="4">
                  <c:v>-3.5</c:v>
                </c:pt>
              </c:numCache>
            </c:numRef>
          </c:xVal>
          <c:yVal>
            <c:numRef>
              <c:f>'Create Undulator Magnet'!$M$3:$M$7</c:f>
              <c:numCache>
                <c:formatCode>General</c:formatCode>
                <c:ptCount val="5"/>
                <c:pt idx="0">
                  <c:v>-2.0449999999999999</c:v>
                </c:pt>
                <c:pt idx="1">
                  <c:v>-2.0449999999999999</c:v>
                </c:pt>
                <c:pt idx="2">
                  <c:v>2.0449999999999999</c:v>
                </c:pt>
                <c:pt idx="3">
                  <c:v>2.0449999999999999</c:v>
                </c:pt>
                <c:pt idx="4">
                  <c:v>-2.0449999999999999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Magnet'!$L$12:$L$13</c:f>
              <c:numCache>
                <c:formatCode>0.00</c:formatCode>
                <c:ptCount val="2"/>
                <c:pt idx="0">
                  <c:v>-12</c:v>
                </c:pt>
                <c:pt idx="1">
                  <c:v>12</c:v>
                </c:pt>
              </c:numCache>
            </c:numRef>
          </c:xVal>
          <c:yVal>
            <c:numRef>
              <c:f>'Create Undulator Magnet'!$M$12:$M$13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Magnet'!$L$15:$L$16</c:f>
              <c:numCache>
                <c:formatCode>0.00</c:formatCode>
                <c:ptCount val="2"/>
                <c:pt idx="0">
                  <c:v>-12</c:v>
                </c:pt>
                <c:pt idx="1">
                  <c:v>12</c:v>
                </c:pt>
              </c:numCache>
            </c:numRef>
          </c:xVal>
          <c:yVal>
            <c:numRef>
              <c:f>'Create Undulator Magnet'!$M$15:$M$16</c:f>
              <c:numCache>
                <c:formatCode>0.00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-3.5</c:v>
                </c:pt>
                <c:pt idx="1">
                  <c:v>-3.1666666666666665</c:v>
                </c:pt>
                <c:pt idx="2">
                  <c:v>-2.833333333333333</c:v>
                </c:pt>
                <c:pt idx="3">
                  <c:v>-2.4999999999999996</c:v>
                </c:pt>
                <c:pt idx="4">
                  <c:v>-2.1666666666666661</c:v>
                </c:pt>
                <c:pt idx="5">
                  <c:v>-1.8333333333333328</c:v>
                </c:pt>
                <c:pt idx="6">
                  <c:v>-1.4999999999999996</c:v>
                </c:pt>
                <c:pt idx="7">
                  <c:v>-1.1666666666666663</c:v>
                </c:pt>
                <c:pt idx="8">
                  <c:v>-0.83333333333333304</c:v>
                </c:pt>
                <c:pt idx="9">
                  <c:v>-0.49999999999999972</c:v>
                </c:pt>
                <c:pt idx="10">
                  <c:v>-0.16666666666666641</c:v>
                </c:pt>
                <c:pt idx="11">
                  <c:v>0.16666666666666691</c:v>
                </c:pt>
                <c:pt idx="12">
                  <c:v>0.50000000000000022</c:v>
                </c:pt>
                <c:pt idx="13">
                  <c:v>0.83333333333333348</c:v>
                </c:pt>
                <c:pt idx="14">
                  <c:v>1.1666666666666667</c:v>
                </c:pt>
                <c:pt idx="15">
                  <c:v>1.5</c:v>
                </c:pt>
                <c:pt idx="16">
                  <c:v>1.8333333333333333</c:v>
                </c:pt>
                <c:pt idx="17">
                  <c:v>2.1666666666666665</c:v>
                </c:pt>
                <c:pt idx="18">
                  <c:v>2.5</c:v>
                </c:pt>
                <c:pt idx="19">
                  <c:v>2.8333333333333335</c:v>
                </c:pt>
                <c:pt idx="20">
                  <c:v>3.166666666666667</c:v>
                </c:pt>
                <c:pt idx="21">
                  <c:v>3.5000000000000004</c:v>
                </c:pt>
              </c:numCache>
            </c:numRef>
          </c:xVal>
          <c:yVal>
            <c:numRef>
              <c:f>'Create Undulator Magnet'!$P$3:$P$24</c:f>
              <c:numCache>
                <c:formatCode>General</c:formatCode>
                <c:ptCount val="22"/>
                <c:pt idx="0">
                  <c:v>0</c:v>
                </c:pt>
                <c:pt idx="1">
                  <c:v>0.87100171694991813</c:v>
                </c:pt>
                <c:pt idx="2">
                  <c:v>1.200593012959196</c:v>
                </c:pt>
                <c:pt idx="3">
                  <c:v>1.4312018639975999</c:v>
                </c:pt>
                <c:pt idx="4">
                  <c:v>1.6060478103596412</c:v>
                </c:pt>
                <c:pt idx="5">
                  <c:v>1.7420034338998363</c:v>
                </c:pt>
                <c:pt idx="6">
                  <c:v>1.8476736614412388</c:v>
                </c:pt>
                <c:pt idx="7">
                  <c:v>1.9280444900353195</c:v>
                </c:pt>
                <c:pt idx="8">
                  <c:v>1.9861895057709036</c:v>
                </c:pt>
                <c:pt idx="9">
                  <c:v>2.0240250865590594</c:v>
                </c:pt>
                <c:pt idx="10">
                  <c:v>2.0426800900075808</c:v>
                </c:pt>
                <c:pt idx="11">
                  <c:v>2.0426800900075808</c:v>
                </c:pt>
                <c:pt idx="12">
                  <c:v>2.0240250865590594</c:v>
                </c:pt>
                <c:pt idx="13">
                  <c:v>1.9861895057709036</c:v>
                </c:pt>
                <c:pt idx="14">
                  <c:v>1.9280444900353193</c:v>
                </c:pt>
                <c:pt idx="15">
                  <c:v>1.8476736614412386</c:v>
                </c:pt>
                <c:pt idx="16">
                  <c:v>1.742003433899836</c:v>
                </c:pt>
                <c:pt idx="17">
                  <c:v>1.6060478103596412</c:v>
                </c:pt>
                <c:pt idx="18">
                  <c:v>1.4312018639975996</c:v>
                </c:pt>
                <c:pt idx="19">
                  <c:v>1.2005930129591955</c:v>
                </c:pt>
                <c:pt idx="20">
                  <c:v>0.87100171694991757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-3.5</c:v>
                </c:pt>
                <c:pt idx="1">
                  <c:v>-3.1666666666666665</c:v>
                </c:pt>
                <c:pt idx="2">
                  <c:v>-2.833333333333333</c:v>
                </c:pt>
                <c:pt idx="3">
                  <c:v>-2.4999999999999996</c:v>
                </c:pt>
                <c:pt idx="4">
                  <c:v>-2.1666666666666661</c:v>
                </c:pt>
                <c:pt idx="5">
                  <c:v>-1.8333333333333328</c:v>
                </c:pt>
                <c:pt idx="6">
                  <c:v>-1.4999999999999996</c:v>
                </c:pt>
                <c:pt idx="7">
                  <c:v>-1.1666666666666663</c:v>
                </c:pt>
                <c:pt idx="8">
                  <c:v>-0.83333333333333304</c:v>
                </c:pt>
                <c:pt idx="9">
                  <c:v>-0.49999999999999972</c:v>
                </c:pt>
                <c:pt idx="10">
                  <c:v>-0.16666666666666641</c:v>
                </c:pt>
                <c:pt idx="11">
                  <c:v>0.16666666666666691</c:v>
                </c:pt>
                <c:pt idx="12">
                  <c:v>0.50000000000000022</c:v>
                </c:pt>
                <c:pt idx="13">
                  <c:v>0.83333333333333348</c:v>
                </c:pt>
                <c:pt idx="14">
                  <c:v>1.1666666666666667</c:v>
                </c:pt>
                <c:pt idx="15">
                  <c:v>1.5</c:v>
                </c:pt>
                <c:pt idx="16">
                  <c:v>1.8333333333333333</c:v>
                </c:pt>
                <c:pt idx="17">
                  <c:v>2.1666666666666665</c:v>
                </c:pt>
                <c:pt idx="18">
                  <c:v>2.5</c:v>
                </c:pt>
                <c:pt idx="19">
                  <c:v>2.8333333333333335</c:v>
                </c:pt>
                <c:pt idx="20">
                  <c:v>3.166666666666667</c:v>
                </c:pt>
                <c:pt idx="21">
                  <c:v>3.5000000000000004</c:v>
                </c:pt>
              </c:numCache>
            </c:numRef>
          </c:xVal>
          <c:yVal>
            <c:numRef>
              <c:f>'Create Undulator Magnet'!$Q$3:$Q$24</c:f>
              <c:numCache>
                <c:formatCode>General</c:formatCode>
                <c:ptCount val="22"/>
                <c:pt idx="0">
                  <c:v>0</c:v>
                </c:pt>
                <c:pt idx="1">
                  <c:v>-0.87100171694991813</c:v>
                </c:pt>
                <c:pt idx="2">
                  <c:v>-1.200593012959196</c:v>
                </c:pt>
                <c:pt idx="3">
                  <c:v>-1.4312018639975999</c:v>
                </c:pt>
                <c:pt idx="4">
                  <c:v>-1.6060478103596412</c:v>
                </c:pt>
                <c:pt idx="5">
                  <c:v>-1.7420034338998363</c:v>
                </c:pt>
                <c:pt idx="6">
                  <c:v>-1.8476736614412388</c:v>
                </c:pt>
                <c:pt idx="7">
                  <c:v>-1.9280444900353195</c:v>
                </c:pt>
                <c:pt idx="8">
                  <c:v>-1.9861895057709036</c:v>
                </c:pt>
                <c:pt idx="9">
                  <c:v>-2.0240250865590594</c:v>
                </c:pt>
                <c:pt idx="10">
                  <c:v>-2.0426800900075808</c:v>
                </c:pt>
                <c:pt idx="11">
                  <c:v>-2.0426800900075808</c:v>
                </c:pt>
                <c:pt idx="12">
                  <c:v>-2.0240250865590594</c:v>
                </c:pt>
                <c:pt idx="13">
                  <c:v>-1.9861895057709036</c:v>
                </c:pt>
                <c:pt idx="14">
                  <c:v>-1.9280444900353193</c:v>
                </c:pt>
                <c:pt idx="15">
                  <c:v>-1.8476736614412386</c:v>
                </c:pt>
                <c:pt idx="16">
                  <c:v>-1.742003433899836</c:v>
                </c:pt>
                <c:pt idx="17">
                  <c:v>-1.6060478103596412</c:v>
                </c:pt>
                <c:pt idx="18">
                  <c:v>-1.4312018639975996</c:v>
                </c:pt>
                <c:pt idx="19">
                  <c:v>-1.2005930129591955</c:v>
                </c:pt>
                <c:pt idx="20">
                  <c:v>-0.87100171694991757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'Create Undulator Magnet'!$L$18:$L$19</c15:sqref>
                        </c15:formulaRef>
                      </c:ext>
                    </c:extLst>
                    <c:numCache>
                      <c:formatCode>0.00</c:formatCode>
                      <c:ptCount val="2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'Create Undulator Magnet'!$M$18:$M$19</c15:sqref>
                        </c15:formulaRef>
                      </c:ext>
                    </c:extLst>
                    <c:numCache>
                      <c:formatCode>0.00</c:formatCode>
                      <c:ptCount val="2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FCF-4CD1-9CF8-63E2CF8861E2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'Create Undulator Magnet'!$L$21:$L$22</c15:sqref>
                        </c15:formulaRef>
                      </c:ext>
                    </c:extLst>
                    <c:numCache>
                      <c:formatCode>0.00</c:formatCode>
                      <c:ptCount val="2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'Create Undulator Magnet'!$M$21:$M$22</c15:sqref>
                        </c15:formulaRef>
                      </c:ext>
                    </c:extLst>
                    <c:numCache>
                      <c:formatCode>0.00</c:formatCode>
                      <c:ptCount val="2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FCF-4CD1-9CF8-63E2CF8861E2}"/>
                  </c:ext>
                </c:extLst>
              </c15:ser>
            </c15:filteredScatterSeries>
          </c:ext>
        </c:extLst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Magnet'!$G$4:$G$18</c:f>
              <c:numCache>
                <c:formatCode>General</c:formatCode>
                <c:ptCount val="15"/>
                <c:pt idx="0">
                  <c:v>14.5</c:v>
                </c:pt>
                <c:pt idx="1">
                  <c:v>17.5</c:v>
                </c:pt>
                <c:pt idx="2">
                  <c:v>17.5</c:v>
                </c:pt>
                <c:pt idx="3">
                  <c:v>14.5</c:v>
                </c:pt>
                <c:pt idx="4">
                  <c:v>-14.5</c:v>
                </c:pt>
                <c:pt idx="5">
                  <c:v>-17.5</c:v>
                </c:pt>
                <c:pt idx="6">
                  <c:v>-17.5</c:v>
                </c:pt>
                <c:pt idx="7">
                  <c:v>-14.5</c:v>
                </c:pt>
                <c:pt idx="8">
                  <c:v>14.5</c:v>
                </c:pt>
              </c:numCache>
            </c:numRef>
          </c:xVal>
          <c:yVal>
            <c:numRef>
              <c:f>'Create Undulator Magnet'!$H$4:$H$18</c:f>
              <c:numCache>
                <c:formatCode>General</c:formatCode>
                <c:ptCount val="15"/>
                <c:pt idx="0">
                  <c:v>0</c:v>
                </c:pt>
                <c:pt idx="1">
                  <c:v>3</c:v>
                </c:pt>
                <c:pt idx="2">
                  <c:v>17</c:v>
                </c:pt>
                <c:pt idx="3">
                  <c:v>20</c:v>
                </c:pt>
                <c:pt idx="4">
                  <c:v>20</c:v>
                </c:pt>
                <c:pt idx="5">
                  <c:v>17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Magnet'!$I$4:$I$24</c:f>
              <c:numCache>
                <c:formatCode>General</c:formatCode>
                <c:ptCount val="21"/>
                <c:pt idx="0">
                  <c:v>14.5</c:v>
                </c:pt>
                <c:pt idx="1">
                  <c:v>17.5</c:v>
                </c:pt>
                <c:pt idx="2">
                  <c:v>17.5</c:v>
                </c:pt>
                <c:pt idx="3">
                  <c:v>14.5</c:v>
                </c:pt>
                <c:pt idx="4">
                  <c:v>-14.5</c:v>
                </c:pt>
                <c:pt idx="5">
                  <c:v>-17.5</c:v>
                </c:pt>
                <c:pt idx="6">
                  <c:v>-17.5</c:v>
                </c:pt>
                <c:pt idx="7">
                  <c:v>-14.5</c:v>
                </c:pt>
                <c:pt idx="8">
                  <c:v>14.5</c:v>
                </c:pt>
              </c:numCache>
            </c:numRef>
          </c:xVal>
          <c:yVal>
            <c:numRef>
              <c:f>'Create Undulator Magnet'!$J$4:$J$24</c:f>
              <c:numCache>
                <c:formatCode>General</c:formatCode>
                <c:ptCount val="21"/>
                <c:pt idx="0">
                  <c:v>0</c:v>
                </c:pt>
                <c:pt idx="1">
                  <c:v>3</c:v>
                </c:pt>
                <c:pt idx="2">
                  <c:v>17</c:v>
                </c:pt>
                <c:pt idx="3">
                  <c:v>20</c:v>
                </c:pt>
                <c:pt idx="4">
                  <c:v>20</c:v>
                </c:pt>
                <c:pt idx="5">
                  <c:v>17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1933.0526504893642</c:v>
                </c:pt>
                <c:pt idx="1">
                  <c:v>2032.6214979943607</c:v>
                </c:pt>
                <c:pt idx="2">
                  <c:v>2137.0531726485551</c:v>
                </c:pt>
                <c:pt idx="3">
                  <c:v>2246.2209641002619</c:v>
                </c:pt>
                <c:pt idx="4">
                  <c:v>2359.8830364691021</c:v>
                </c:pt>
                <c:pt idx="5">
                  <c:v>2477.6577803124856</c:v>
                </c:pt>
                <c:pt idx="6">
                  <c:v>2598.9977545019374</c:v>
                </c:pt>
                <c:pt idx="7">
                  <c:v>2723.1635781853884</c:v>
                </c:pt>
                <c:pt idx="8">
                  <c:v>2849.1997828254971</c:v>
                </c:pt>
                <c:pt idx="9">
                  <c:v>2975.915354848858</c:v>
                </c:pt>
                <c:pt idx="10">
                  <c:v>3101.8724027807848</c:v>
                </c:pt>
                <c:pt idx="11">
                  <c:v>3225.386926116701</c:v>
                </c:pt>
                <c:pt idx="12">
                  <c:v>3344.5458499333004</c:v>
                </c:pt>
                <c:pt idx="13">
                  <c:v>3457.2440893440976</c:v>
                </c:pt>
                <c:pt idx="14">
                  <c:v>3561.2442059867376</c:v>
                </c:pt>
                <c:pt idx="15">
                  <c:v>3654.2590907748895</c:v>
                </c:pt>
                <c:pt idx="16">
                  <c:v>3734.0551133976678</c:v>
                </c:pt>
                <c:pt idx="17">
                  <c:v>3798.5696426161931</c:v>
                </c:pt>
                <c:pt idx="18">
                  <c:v>3846.0333678134548</c:v>
                </c:pt>
                <c:pt idx="19">
                  <c:v>3875.0852476442233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1971241214591534.5</c:v>
                </c:pt>
                <c:pt idx="1">
                  <c:v>1904873320156350.8</c:v>
                </c:pt>
                <c:pt idx="2">
                  <c:v>1831332508009074</c:v>
                </c:pt>
                <c:pt idx="3">
                  <c:v>1750136587599234.5</c:v>
                </c:pt>
                <c:pt idx="4">
                  <c:v>1660890713660853</c:v>
                </c:pt>
                <c:pt idx="5">
                  <c:v>1563337259543361</c:v>
                </c:pt>
                <c:pt idx="6">
                  <c:v>1457416521517658.8</c:v>
                </c:pt>
                <c:pt idx="7">
                  <c:v>1343337273445074</c:v>
                </c:pt>
                <c:pt idx="8">
                  <c:v>1221654313647202.3</c:v>
                </c:pt>
                <c:pt idx="9">
                  <c:v>1093347652681322.3</c:v>
                </c:pt>
                <c:pt idx="10">
                  <c:v>959895043018519.13</c:v>
                </c:pt>
                <c:pt idx="11">
                  <c:v>823326552095176.38</c:v>
                </c:pt>
                <c:pt idx="12">
                  <c:v>686247517928977.5</c:v>
                </c:pt>
                <c:pt idx="13">
                  <c:v>551815439677950.69</c:v>
                </c:pt>
                <c:pt idx="14">
                  <c:v>423658163221333.38</c:v>
                </c:pt>
                <c:pt idx="15">
                  <c:v>305725906419038.13</c:v>
                </c:pt>
                <c:pt idx="16">
                  <c:v>202078361026569.66</c:v>
                </c:pt>
                <c:pt idx="17">
                  <c:v>116619417996571.47</c:v>
                </c:pt>
                <c:pt idx="18">
                  <c:v>52803958540888.5</c:v>
                </c:pt>
                <c:pt idx="19">
                  <c:v>13350766769318.893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5799.1579514680925</c:v>
                </c:pt>
                <c:pt idx="1">
                  <c:v>6097.864493983082</c:v>
                </c:pt>
                <c:pt idx="2">
                  <c:v>6411.1595179456654</c:v>
                </c:pt>
                <c:pt idx="3">
                  <c:v>6738.6628923007847</c:v>
                </c:pt>
                <c:pt idx="4">
                  <c:v>7079.6491094073053</c:v>
                </c:pt>
                <c:pt idx="5">
                  <c:v>7432.9733409374567</c:v>
                </c:pt>
                <c:pt idx="6">
                  <c:v>7796.9932635058121</c:v>
                </c:pt>
                <c:pt idx="7">
                  <c:v>8169.4907345561651</c:v>
                </c:pt>
                <c:pt idx="8">
                  <c:v>8547.5993484764913</c:v>
                </c:pt>
                <c:pt idx="9">
                  <c:v>8927.7460645465726</c:v>
                </c:pt>
                <c:pt idx="10">
                  <c:v>9305.6172083423553</c:v>
                </c:pt>
                <c:pt idx="11">
                  <c:v>9676.1607783501022</c:v>
                </c:pt>
                <c:pt idx="12">
                  <c:v>10033.637549799902</c:v>
                </c:pt>
                <c:pt idx="13">
                  <c:v>10371.732268032292</c:v>
                </c:pt>
                <c:pt idx="14">
                  <c:v>10683.732617960211</c:v>
                </c:pt>
                <c:pt idx="15">
                  <c:v>10962.777272324669</c:v>
                </c:pt>
                <c:pt idx="16">
                  <c:v>11202.165340193003</c:v>
                </c:pt>
                <c:pt idx="17">
                  <c:v>11395.70892784858</c:v>
                </c:pt>
                <c:pt idx="18">
                  <c:v>11538.100103440365</c:v>
                </c:pt>
                <c:pt idx="19">
                  <c:v>11625.25574293267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640839651308203.63</c:v>
                </c:pt>
                <c:pt idx="1">
                  <c:v>569924086337514.75</c:v>
                </c:pt>
                <c:pt idx="2">
                  <c:v>498585393989083.25</c:v>
                </c:pt>
                <c:pt idx="3">
                  <c:v>427955078636090.19</c:v>
                </c:pt>
                <c:pt idx="4">
                  <c:v>359318006979988.63</c:v>
                </c:pt>
                <c:pt idx="5">
                  <c:v>294057299578266.63</c:v>
                </c:pt>
                <c:pt idx="6">
                  <c:v>233570457912492.44</c:v>
                </c:pt>
                <c:pt idx="7">
                  <c:v>179158465696643.84</c:v>
                </c:pt>
                <c:pt idx="8">
                  <c:v>131896312588575.91</c:v>
                </c:pt>
                <c:pt idx="9">
                  <c:v>92501525693921.859</c:v>
                </c:pt>
                <c:pt idx="10">
                  <c:v>61224884863061.633</c:v>
                </c:pt>
                <c:pt idx="11">
                  <c:v>37791390287940.414</c:v>
                </c:pt>
                <c:pt idx="12">
                  <c:v>21416146609576.086</c:v>
                </c:pt>
                <c:pt idx="13">
                  <c:v>10906695725433.4</c:v>
                </c:pt>
                <c:pt idx="14">
                  <c:v>4841339803432.3086</c:v>
                </c:pt>
                <c:pt idx="15">
                  <c:v>1787847552514.0935</c:v>
                </c:pt>
                <c:pt idx="16">
                  <c:v>508543308580.70911</c:v>
                </c:pt>
                <c:pt idx="17">
                  <c:v>96546047233.115753</c:v>
                </c:pt>
                <c:pt idx="18">
                  <c:v>8881083715.0730381</c:v>
                </c:pt>
                <c:pt idx="19">
                  <c:v>142743079.76355842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9665.2632524468208</c:v>
                </c:pt>
                <c:pt idx="1">
                  <c:v>10163.107489971804</c:v>
                </c:pt>
                <c:pt idx="2">
                  <c:v>10685.265863242776</c:v>
                </c:pt>
                <c:pt idx="3">
                  <c:v>11231.104820501308</c:v>
                </c:pt>
                <c:pt idx="4">
                  <c:v>11799.41518234551</c:v>
                </c:pt>
                <c:pt idx="5">
                  <c:v>12388.28890156243</c:v>
                </c:pt>
                <c:pt idx="6">
                  <c:v>12994.988772509689</c:v>
                </c:pt>
                <c:pt idx="7">
                  <c:v>13615.817890926943</c:v>
                </c:pt>
                <c:pt idx="8">
                  <c:v>14245.998914127487</c:v>
                </c:pt>
                <c:pt idx="9">
                  <c:v>14879.576774244289</c:v>
                </c:pt>
                <c:pt idx="10">
                  <c:v>15509.362013903925</c:v>
                </c:pt>
                <c:pt idx="11">
                  <c:v>16126.934630583504</c:v>
                </c:pt>
                <c:pt idx="12">
                  <c:v>16722.729249666503</c:v>
                </c:pt>
                <c:pt idx="13">
                  <c:v>17286.22044672049</c:v>
                </c:pt>
                <c:pt idx="14">
                  <c:v>17806.221029933688</c:v>
                </c:pt>
                <c:pt idx="15">
                  <c:v>18271.295453874449</c:v>
                </c:pt>
                <c:pt idx="16">
                  <c:v>18670.275566988341</c:v>
                </c:pt>
                <c:pt idx="17">
                  <c:v>18992.848213080968</c:v>
                </c:pt>
                <c:pt idx="18">
                  <c:v>19230.166839067275</c:v>
                </c:pt>
                <c:pt idx="19">
                  <c:v>19375.426238221116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243612934267289.09</c:v>
                </c:pt>
                <c:pt idx="1">
                  <c:v>198463146022088.72</c:v>
                </c:pt>
                <c:pt idx="2">
                  <c:v>157218855920369.91</c:v>
                </c:pt>
                <c:pt idx="3">
                  <c:v>120590654480579.8</c:v>
                </c:pt>
                <c:pt idx="4">
                  <c:v>89109919935584.859</c:v>
                </c:pt>
                <c:pt idx="5">
                  <c:v>63062903387686.781</c:v>
                </c:pt>
                <c:pt idx="6">
                  <c:v>42443880338767.617</c:v>
                </c:pt>
                <c:pt idx="7">
                  <c:v>26941115072848.211</c:v>
                </c:pt>
                <c:pt idx="8">
                  <c:v>15965708694321.674</c:v>
                </c:pt>
                <c:pt idx="9">
                  <c:v>8724916221096.3857</c:v>
                </c:pt>
                <c:pt idx="10">
                  <c:v>4329486983114.1709</c:v>
                </c:pt>
                <c:pt idx="11">
                  <c:v>1912769544833.2151</c:v>
                </c:pt>
                <c:pt idx="12">
                  <c:v>733148303497.71716</c:v>
                </c:pt>
                <c:pt idx="13">
                  <c:v>235318650958.87921</c:v>
                </c:pt>
                <c:pt idx="14">
                  <c:v>60120843724.778976</c:v>
                </c:pt>
                <c:pt idx="15">
                  <c:v>11316072098.817612</c:v>
                </c:pt>
                <c:pt idx="16">
                  <c:v>1380420720.4658267</c:v>
                </c:pt>
                <c:pt idx="17">
                  <c:v>85974446.708442941</c:v>
                </c:pt>
                <c:pt idx="18">
                  <c:v>1603436.0997571012</c:v>
                </c:pt>
                <c:pt idx="19">
                  <c:v>1636.246319000323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13531.368553425549</c:v>
                </c:pt>
                <c:pt idx="1">
                  <c:v>14228.350485960525</c:v>
                </c:pt>
                <c:pt idx="2">
                  <c:v>14959.372208539888</c:v>
                </c:pt>
                <c:pt idx="3">
                  <c:v>15723.546748701834</c:v>
                </c:pt>
                <c:pt idx="4">
                  <c:v>16519.181255283715</c:v>
                </c:pt>
                <c:pt idx="5">
                  <c:v>17343.604462187403</c:v>
                </c:pt>
                <c:pt idx="6">
                  <c:v>18192.984281513563</c:v>
                </c:pt>
                <c:pt idx="7">
                  <c:v>19062.145047297719</c:v>
                </c:pt>
                <c:pt idx="8">
                  <c:v>19944.398479778483</c:v>
                </c:pt>
                <c:pt idx="9">
                  <c:v>20831.407483942006</c:v>
                </c:pt>
                <c:pt idx="10">
                  <c:v>21713.106819465494</c:v>
                </c:pt>
                <c:pt idx="11">
                  <c:v>22577.708482816906</c:v>
                </c:pt>
                <c:pt idx="12">
                  <c:v>23411.820949533103</c:v>
                </c:pt>
                <c:pt idx="13">
                  <c:v>24200.708625408686</c:v>
                </c:pt>
                <c:pt idx="14">
                  <c:v>24928.709441907165</c:v>
                </c:pt>
                <c:pt idx="15">
                  <c:v>25579.813635424231</c:v>
                </c:pt>
                <c:pt idx="16">
                  <c:v>26138.385793783676</c:v>
                </c:pt>
                <c:pt idx="17">
                  <c:v>26589.987498313352</c:v>
                </c:pt>
                <c:pt idx="18">
                  <c:v>26922.233574694186</c:v>
                </c:pt>
                <c:pt idx="19">
                  <c:v>27125.596733509563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96039444403042.359</c:v>
                </c:pt>
                <c:pt idx="1">
                  <c:v>71561133877691.563</c:v>
                </c:pt>
                <c:pt idx="2">
                  <c:v>51253892193394.516</c:v>
                </c:pt>
                <c:pt idx="3">
                  <c:v>35075034671233.973</c:v>
                </c:pt>
                <c:pt idx="4">
                  <c:v>22774363338796.027</c:v>
                </c:pt>
                <c:pt idx="5">
                  <c:v>13915185396324.717</c:v>
                </c:pt>
                <c:pt idx="6">
                  <c:v>7922913817508.7354</c:v>
                </c:pt>
                <c:pt idx="7">
                  <c:v>4154992424719.4995</c:v>
                </c:pt>
                <c:pt idx="8">
                  <c:v>1978941332322.3369</c:v>
                </c:pt>
                <c:pt idx="9">
                  <c:v>841375558648.57019</c:v>
                </c:pt>
                <c:pt idx="10">
                  <c:v>312542086283.78888</c:v>
                </c:pt>
                <c:pt idx="11">
                  <c:v>98689315158.875397</c:v>
                </c:pt>
                <c:pt idx="12">
                  <c:v>25549826903.451878</c:v>
                </c:pt>
                <c:pt idx="13">
                  <c:v>5161958209.5715837</c:v>
                </c:pt>
                <c:pt idx="14">
                  <c:v>758190650.30101466</c:v>
                </c:pt>
                <c:pt idx="15">
                  <c:v>72662700.043613672</c:v>
                </c:pt>
                <c:pt idx="16">
                  <c:v>3798118.7727139504</c:v>
                </c:pt>
                <c:pt idx="17">
                  <c:v>77548.757651641645</c:v>
                </c:pt>
                <c:pt idx="18">
                  <c:v>293.07983221294137</c:v>
                </c:pt>
                <c:pt idx="19">
                  <c:v>1.8982585369161534E-2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17397.473854404278</c:v>
                </c:pt>
                <c:pt idx="1">
                  <c:v>18293.593481949247</c:v>
                </c:pt>
                <c:pt idx="2">
                  <c:v>19233.478553836998</c:v>
                </c:pt>
                <c:pt idx="3">
                  <c:v>20215.988676902358</c:v>
                </c:pt>
                <c:pt idx="4">
                  <c:v>21238.947328221919</c:v>
                </c:pt>
                <c:pt idx="5">
                  <c:v>22298.920022812374</c:v>
                </c:pt>
                <c:pt idx="6">
                  <c:v>23390.979790517438</c:v>
                </c:pt>
                <c:pt idx="7">
                  <c:v>24508.472203668498</c:v>
                </c:pt>
                <c:pt idx="8">
                  <c:v>25642.798045429477</c:v>
                </c:pt>
                <c:pt idx="9">
                  <c:v>26783.238193639721</c:v>
                </c:pt>
                <c:pt idx="10">
                  <c:v>27916.851625027066</c:v>
                </c:pt>
                <c:pt idx="11">
                  <c:v>29028.48233505031</c:v>
                </c:pt>
                <c:pt idx="12">
                  <c:v>30100.912649399706</c:v>
                </c:pt>
                <c:pt idx="13">
                  <c:v>31115.196804096882</c:v>
                </c:pt>
                <c:pt idx="14">
                  <c:v>32051.19785388064</c:v>
                </c:pt>
                <c:pt idx="15">
                  <c:v>32888.331816974009</c:v>
                </c:pt>
                <c:pt idx="16">
                  <c:v>33606.496020579012</c:v>
                </c:pt>
                <c:pt idx="17">
                  <c:v>34187.12678354574</c:v>
                </c:pt>
                <c:pt idx="18">
                  <c:v>34614.300310321094</c:v>
                </c:pt>
                <c:pt idx="19">
                  <c:v>34875.767228798009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38417377089717.102</c:v>
                </c:pt>
                <c:pt idx="1">
                  <c:v>26163366417501.352</c:v>
                </c:pt>
                <c:pt idx="2">
                  <c:v>16929985128650.855</c:v>
                </c:pt>
                <c:pt idx="3">
                  <c:v>10329467949809.484</c:v>
                </c:pt>
                <c:pt idx="4">
                  <c:v>5889121845270.8105</c:v>
                </c:pt>
                <c:pt idx="5">
                  <c:v>3104410699612.3569</c:v>
                </c:pt>
                <c:pt idx="6">
                  <c:v>1494255451886.4402</c:v>
                </c:pt>
                <c:pt idx="7">
                  <c:v>646986852950.41406</c:v>
                </c:pt>
                <c:pt idx="8">
                  <c:v>247489051918.53464</c:v>
                </c:pt>
                <c:pt idx="9">
                  <c:v>81811410897.372772</c:v>
                </c:pt>
                <c:pt idx="10">
                  <c:v>22735482765.237286</c:v>
                </c:pt>
                <c:pt idx="11">
                  <c:v>5127939528.4062166</c:v>
                </c:pt>
                <c:pt idx="12">
                  <c:v>896203939.79170454</c:v>
                </c:pt>
                <c:pt idx="13">
                  <c:v>113912472.75130455</c:v>
                </c:pt>
                <c:pt idx="14">
                  <c:v>9614518.9633982219</c:v>
                </c:pt>
                <c:pt idx="15">
                  <c:v>468969.29858662892</c:v>
                </c:pt>
                <c:pt idx="16">
                  <c:v>10500.043503173043</c:v>
                </c:pt>
                <c:pt idx="17">
                  <c:v>70.262605992907993</c:v>
                </c:pt>
                <c:pt idx="18">
                  <c:v>5.3799130099467032E-2</c:v>
                </c:pt>
                <c:pt idx="19">
                  <c:v>2.2113772954465711E-7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21263.579155383006</c:v>
                </c:pt>
                <c:pt idx="1">
                  <c:v>22358.836477937966</c:v>
                </c:pt>
                <c:pt idx="2">
                  <c:v>23507.584899134108</c:v>
                </c:pt>
                <c:pt idx="3">
                  <c:v>24708.43060510288</c:v>
                </c:pt>
                <c:pt idx="4">
                  <c:v>25958.713401160123</c:v>
                </c:pt>
                <c:pt idx="5">
                  <c:v>27254.235583437341</c:v>
                </c:pt>
                <c:pt idx="6">
                  <c:v>28588.975299521313</c:v>
                </c:pt>
                <c:pt idx="7">
                  <c:v>29954.799360039273</c:v>
                </c:pt>
                <c:pt idx="8">
                  <c:v>31341.197611080468</c:v>
                </c:pt>
                <c:pt idx="9">
                  <c:v>32735.068903337436</c:v>
                </c:pt>
                <c:pt idx="10">
                  <c:v>34120.596430588637</c:v>
                </c:pt>
                <c:pt idx="11">
                  <c:v>35479.25618728371</c:v>
                </c:pt>
                <c:pt idx="12">
                  <c:v>36790.004349266303</c:v>
                </c:pt>
                <c:pt idx="13">
                  <c:v>38029.684982785075</c:v>
                </c:pt>
                <c:pt idx="14">
                  <c:v>39173.686265854114</c:v>
                </c:pt>
                <c:pt idx="15">
                  <c:v>40196.849998523787</c:v>
                </c:pt>
                <c:pt idx="16">
                  <c:v>41074.606247374344</c:v>
                </c:pt>
                <c:pt idx="17">
                  <c:v>41784.266068778124</c:v>
                </c:pt>
                <c:pt idx="18">
                  <c:v>42306.367045948005</c:v>
                </c:pt>
                <c:pt idx="19">
                  <c:v>42625.937724086456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15481242538419.479</c:v>
                </c:pt>
                <c:pt idx="1">
                  <c:v>9632482794797.8184</c:v>
                </c:pt>
                <c:pt idx="2">
                  <c:v>5629156958705.2695</c:v>
                </c:pt>
                <c:pt idx="3">
                  <c:v>3060871237833.5967</c:v>
                </c:pt>
                <c:pt idx="4">
                  <c:v>1531702339506.5461</c:v>
                </c:pt>
                <c:pt idx="5">
                  <c:v>696344187534.53235</c:v>
                </c:pt>
                <c:pt idx="6">
                  <c:v>283242208088.42511</c:v>
                </c:pt>
                <c:pt idx="7">
                  <c:v>101217768742.80086</c:v>
                </c:pt>
                <c:pt idx="8">
                  <c:v>31085874379.518738</c:v>
                </c:pt>
                <c:pt idx="9">
                  <c:v>7986853263.9881153</c:v>
                </c:pt>
                <c:pt idx="10">
                  <c:v>1659962319.5090621</c:v>
                </c:pt>
                <c:pt idx="11">
                  <c:v>267351263.95169073</c:v>
                </c:pt>
                <c:pt idx="12">
                  <c:v>31533285.769613594</c:v>
                </c:pt>
                <c:pt idx="13">
                  <c:v>2520915.5470687388</c:v>
                </c:pt>
                <c:pt idx="14">
                  <c:v>122237.57289587056</c:v>
                </c:pt>
                <c:pt idx="15">
                  <c:v>3033.9995984359316</c:v>
                </c:pt>
                <c:pt idx="16">
                  <c:v>29.092153664789475</c:v>
                </c:pt>
                <c:pt idx="17">
                  <c:v>6.3793292214553987E-2</c:v>
                </c:pt>
                <c:pt idx="18">
                  <c:v>9.8951284441897995E-6</c:v>
                </c:pt>
                <c:pt idx="19">
                  <c:v>2.5810716966541471E-12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25129.684456361734</c:v>
                </c:pt>
                <c:pt idx="1">
                  <c:v>26424.079473926686</c:v>
                </c:pt>
                <c:pt idx="2">
                  <c:v>27781.691244431215</c:v>
                </c:pt>
                <c:pt idx="3">
                  <c:v>29200.872533303402</c:v>
                </c:pt>
                <c:pt idx="4">
                  <c:v>30678.479474098323</c:v>
                </c:pt>
                <c:pt idx="5">
                  <c:v>32209.551144062312</c:v>
                </c:pt>
                <c:pt idx="6">
                  <c:v>33786.970808525184</c:v>
                </c:pt>
                <c:pt idx="7">
                  <c:v>35401.126516410048</c:v>
                </c:pt>
                <c:pt idx="8">
                  <c:v>37039.597176731462</c:v>
                </c:pt>
                <c:pt idx="9">
                  <c:v>38686.899613035152</c:v>
                </c:pt>
                <c:pt idx="10">
                  <c:v>40324.341236150205</c:v>
                </c:pt>
                <c:pt idx="11">
                  <c:v>41930.030039517107</c:v>
                </c:pt>
                <c:pt idx="12">
                  <c:v>43479.096049132902</c:v>
                </c:pt>
                <c:pt idx="13">
                  <c:v>44944.173161473271</c:v>
                </c:pt>
                <c:pt idx="14">
                  <c:v>46296.174677827585</c:v>
                </c:pt>
                <c:pt idx="15">
                  <c:v>47505.368180073565</c:v>
                </c:pt>
                <c:pt idx="16">
                  <c:v>48542.716474169676</c:v>
                </c:pt>
                <c:pt idx="17">
                  <c:v>49381.405354010509</c:v>
                </c:pt>
                <c:pt idx="18">
                  <c:v>49998.43378157491</c:v>
                </c:pt>
                <c:pt idx="19">
                  <c:v>50376.108219374895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6265198935815.6084</c:v>
                </c:pt>
                <c:pt idx="1">
                  <c:v>3560638289693.9561</c:v>
                </c:pt>
                <c:pt idx="2">
                  <c:v>1878756010370.855</c:v>
                </c:pt>
                <c:pt idx="3">
                  <c:v>910226016873.07715</c:v>
                </c:pt>
                <c:pt idx="4">
                  <c:v>399699956035.98828</c:v>
                </c:pt>
                <c:pt idx="5">
                  <c:v>156677201925.63156</c:v>
                </c:pt>
                <c:pt idx="6">
                  <c:v>53843352528.49411</c:v>
                </c:pt>
                <c:pt idx="7">
                  <c:v>15876915211.502783</c:v>
                </c:pt>
                <c:pt idx="8">
                  <c:v>3914072135.0913267</c:v>
                </c:pt>
                <c:pt idx="9">
                  <c:v>781467035.67635238</c:v>
                </c:pt>
                <c:pt idx="10">
                  <c:v>121446286.06257696</c:v>
                </c:pt>
                <c:pt idx="11">
                  <c:v>13964878.481662551</c:v>
                </c:pt>
                <c:pt idx="12">
                  <c:v>1111414.5788501424</c:v>
                </c:pt>
                <c:pt idx="13">
                  <c:v>55875.906601682567</c:v>
                </c:pt>
                <c:pt idx="14">
                  <c:v>1556.3327024097766</c:v>
                </c:pt>
                <c:pt idx="15">
                  <c:v>19.654215367107337</c:v>
                </c:pt>
                <c:pt idx="16">
                  <c:v>8.0702355802826031E-2</c:v>
                </c:pt>
                <c:pt idx="17">
                  <c:v>5.7985115399937044E-5</c:v>
                </c:pt>
                <c:pt idx="18">
                  <c:v>1.8219352177046658E-9</c:v>
                </c:pt>
                <c:pt idx="19">
                  <c:v>3.0156928040827892E-17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28995.789757340463</c:v>
                </c:pt>
                <c:pt idx="1">
                  <c:v>30489.322469915413</c:v>
                </c:pt>
                <c:pt idx="2">
                  <c:v>32055.797589728329</c:v>
                </c:pt>
                <c:pt idx="3">
                  <c:v>33693.314461503927</c:v>
                </c:pt>
                <c:pt idx="4">
                  <c:v>35398.245547036531</c:v>
                </c:pt>
                <c:pt idx="5">
                  <c:v>37164.866704687287</c:v>
                </c:pt>
                <c:pt idx="6">
                  <c:v>38984.966317529063</c:v>
                </c:pt>
                <c:pt idx="7">
                  <c:v>40847.453672780823</c:v>
                </c:pt>
                <c:pt idx="8">
                  <c:v>42737.996742382456</c:v>
                </c:pt>
                <c:pt idx="9">
                  <c:v>44638.730322732867</c:v>
                </c:pt>
                <c:pt idx="10">
                  <c:v>46528.086041711773</c:v>
                </c:pt>
                <c:pt idx="11">
                  <c:v>48380.803891750518</c:v>
                </c:pt>
                <c:pt idx="12">
                  <c:v>50168.187748999509</c:v>
                </c:pt>
                <c:pt idx="13">
                  <c:v>51858.661340161467</c:v>
                </c:pt>
                <c:pt idx="14">
                  <c:v>53418.663089801063</c:v>
                </c:pt>
                <c:pt idx="15">
                  <c:v>54813.886361623343</c:v>
                </c:pt>
                <c:pt idx="16">
                  <c:v>56010.826700965015</c:v>
                </c:pt>
                <c:pt idx="17">
                  <c:v>56978.5446392429</c:v>
                </c:pt>
                <c:pt idx="18">
                  <c:v>57690.500517201828</c:v>
                </c:pt>
                <c:pt idx="19">
                  <c:v>58126.278714663349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2542341243446.5303</c:v>
                </c:pt>
                <c:pt idx="1">
                  <c:v>1319523687029.4817</c:v>
                </c:pt>
                <c:pt idx="2">
                  <c:v>628533037355.38782</c:v>
                </c:pt>
                <c:pt idx="3">
                  <c:v>271279233502.06927</c:v>
                </c:pt>
                <c:pt idx="4">
                  <c:v>104517984626.3847</c:v>
                </c:pt>
                <c:pt idx="5">
                  <c:v>35320010716.337563</c:v>
                </c:pt>
                <c:pt idx="6">
                  <c:v>10253625421.709265</c:v>
                </c:pt>
                <c:pt idx="7">
                  <c:v>2494520615.7718</c:v>
                </c:pt>
                <c:pt idx="8">
                  <c:v>493570341.25715357</c:v>
                </c:pt>
                <c:pt idx="9">
                  <c:v>76567721.216957465</c:v>
                </c:pt>
                <c:pt idx="10">
                  <c:v>8896494.2713431437</c:v>
                </c:pt>
                <c:pt idx="11">
                  <c:v>730285.17467993754</c:v>
                </c:pt>
                <c:pt idx="12">
                  <c:v>39213.767906305198</c:v>
                </c:pt>
                <c:pt idx="13">
                  <c:v>1239.668316373122</c:v>
                </c:pt>
                <c:pt idx="14">
                  <c:v>19.83252328340507</c:v>
                </c:pt>
                <c:pt idx="15">
                  <c:v>0.12742113004924946</c:v>
                </c:pt>
                <c:pt idx="16">
                  <c:v>2.2403447978385969E-4</c:v>
                </c:pt>
                <c:pt idx="17">
                  <c:v>5.2741754071317631E-8</c:v>
                </c:pt>
                <c:pt idx="18">
                  <c:v>3.3567968253238093E-13</c:v>
                </c:pt>
                <c:pt idx="19">
                  <c:v>3.5256976842257859E-22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1933.0526504893642</c:v>
                </c:pt>
                <c:pt idx="1">
                  <c:v>2032.6214979943607</c:v>
                </c:pt>
                <c:pt idx="2">
                  <c:v>2137.0531726485551</c:v>
                </c:pt>
                <c:pt idx="3">
                  <c:v>2246.2209641002619</c:v>
                </c:pt>
                <c:pt idx="4">
                  <c:v>2359.8830364691021</c:v>
                </c:pt>
                <c:pt idx="5">
                  <c:v>2477.6577803124856</c:v>
                </c:pt>
                <c:pt idx="6">
                  <c:v>2598.9977545019374</c:v>
                </c:pt>
                <c:pt idx="7">
                  <c:v>2723.1635781853884</c:v>
                </c:pt>
                <c:pt idx="8">
                  <c:v>2849.1997828254971</c:v>
                </c:pt>
                <c:pt idx="9">
                  <c:v>2975.915354848858</c:v>
                </c:pt>
                <c:pt idx="10">
                  <c:v>3101.8724027807848</c:v>
                </c:pt>
                <c:pt idx="11">
                  <c:v>3225.386926116701</c:v>
                </c:pt>
                <c:pt idx="12">
                  <c:v>3344.5458499333004</c:v>
                </c:pt>
                <c:pt idx="13">
                  <c:v>3457.2440893440976</c:v>
                </c:pt>
                <c:pt idx="14">
                  <c:v>3561.2442059867376</c:v>
                </c:pt>
                <c:pt idx="15">
                  <c:v>3654.2590907748895</c:v>
                </c:pt>
                <c:pt idx="16">
                  <c:v>3734.0551133976678</c:v>
                </c:pt>
                <c:pt idx="17">
                  <c:v>3798.5696426161931</c:v>
                </c:pt>
                <c:pt idx="18">
                  <c:v>3846.0333678134548</c:v>
                </c:pt>
                <c:pt idx="19">
                  <c:v>3875.0852476442233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1971241214591534.5</c:v>
                </c:pt>
                <c:pt idx="1">
                  <c:v>1904873320156350.8</c:v>
                </c:pt>
                <c:pt idx="2">
                  <c:v>1831332508009074</c:v>
                </c:pt>
                <c:pt idx="3">
                  <c:v>1750136587599234.5</c:v>
                </c:pt>
                <c:pt idx="4">
                  <c:v>1660890713660853</c:v>
                </c:pt>
                <c:pt idx="5">
                  <c:v>1563337259543361</c:v>
                </c:pt>
                <c:pt idx="6">
                  <c:v>1457416521517658.8</c:v>
                </c:pt>
                <c:pt idx="7">
                  <c:v>1343337273445074</c:v>
                </c:pt>
                <c:pt idx="8">
                  <c:v>1221654313647202.3</c:v>
                </c:pt>
                <c:pt idx="9">
                  <c:v>1093347652681322.3</c:v>
                </c:pt>
                <c:pt idx="10">
                  <c:v>959895043018519.13</c:v>
                </c:pt>
                <c:pt idx="11">
                  <c:v>823326552095176.38</c:v>
                </c:pt>
                <c:pt idx="12">
                  <c:v>686247517928977.5</c:v>
                </c:pt>
                <c:pt idx="13">
                  <c:v>551815439677950.69</c:v>
                </c:pt>
                <c:pt idx="14">
                  <c:v>423658163221333.38</c:v>
                </c:pt>
                <c:pt idx="15">
                  <c:v>305725906419038.13</c:v>
                </c:pt>
                <c:pt idx="16">
                  <c:v>202078361026569.66</c:v>
                </c:pt>
                <c:pt idx="17">
                  <c:v>116619417996571.47</c:v>
                </c:pt>
                <c:pt idx="18">
                  <c:v>52803958540888.5</c:v>
                </c:pt>
                <c:pt idx="19">
                  <c:v>13350766769318.893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5799.1579514680925</c:v>
                </c:pt>
                <c:pt idx="1">
                  <c:v>6097.864493983082</c:v>
                </c:pt>
                <c:pt idx="2">
                  <c:v>6411.1595179456654</c:v>
                </c:pt>
                <c:pt idx="3">
                  <c:v>6738.6628923007847</c:v>
                </c:pt>
                <c:pt idx="4">
                  <c:v>7079.6491094073053</c:v>
                </c:pt>
                <c:pt idx="5">
                  <c:v>7432.9733409374567</c:v>
                </c:pt>
                <c:pt idx="6">
                  <c:v>7796.9932635058121</c:v>
                </c:pt>
                <c:pt idx="7">
                  <c:v>8169.4907345561651</c:v>
                </c:pt>
                <c:pt idx="8">
                  <c:v>8547.5993484764913</c:v>
                </c:pt>
                <c:pt idx="9">
                  <c:v>8927.7460645465726</c:v>
                </c:pt>
                <c:pt idx="10">
                  <c:v>9305.6172083423553</c:v>
                </c:pt>
                <c:pt idx="11">
                  <c:v>9676.1607783501022</c:v>
                </c:pt>
                <c:pt idx="12">
                  <c:v>10033.637549799902</c:v>
                </c:pt>
                <c:pt idx="13">
                  <c:v>10371.732268032292</c:v>
                </c:pt>
                <c:pt idx="14">
                  <c:v>10683.732617960211</c:v>
                </c:pt>
                <c:pt idx="15">
                  <c:v>10962.777272324669</c:v>
                </c:pt>
                <c:pt idx="16">
                  <c:v>11202.165340193003</c:v>
                </c:pt>
                <c:pt idx="17">
                  <c:v>11395.70892784858</c:v>
                </c:pt>
                <c:pt idx="18">
                  <c:v>11538.100103440365</c:v>
                </c:pt>
                <c:pt idx="19">
                  <c:v>11625.25574293267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640839651308203.63</c:v>
                </c:pt>
                <c:pt idx="1">
                  <c:v>569924086337514.75</c:v>
                </c:pt>
                <c:pt idx="2">
                  <c:v>498585393989083.25</c:v>
                </c:pt>
                <c:pt idx="3">
                  <c:v>427955078636090.19</c:v>
                </c:pt>
                <c:pt idx="4">
                  <c:v>359318006979988.63</c:v>
                </c:pt>
                <c:pt idx="5">
                  <c:v>294057299578266.63</c:v>
                </c:pt>
                <c:pt idx="6">
                  <c:v>233570457912492.44</c:v>
                </c:pt>
                <c:pt idx="7">
                  <c:v>179158465696643.84</c:v>
                </c:pt>
                <c:pt idx="8">
                  <c:v>131896312588575.91</c:v>
                </c:pt>
                <c:pt idx="9">
                  <c:v>92501525693921.859</c:v>
                </c:pt>
                <c:pt idx="10">
                  <c:v>61224884863061.633</c:v>
                </c:pt>
                <c:pt idx="11">
                  <c:v>37791390287940.414</c:v>
                </c:pt>
                <c:pt idx="12">
                  <c:v>21416146609576.086</c:v>
                </c:pt>
                <c:pt idx="13">
                  <c:v>10906695725433.4</c:v>
                </c:pt>
                <c:pt idx="14">
                  <c:v>4841339803432.3086</c:v>
                </c:pt>
                <c:pt idx="15">
                  <c:v>1787847552514.0935</c:v>
                </c:pt>
                <c:pt idx="16">
                  <c:v>508543308580.70911</c:v>
                </c:pt>
                <c:pt idx="17">
                  <c:v>96546047233.115753</c:v>
                </c:pt>
                <c:pt idx="18">
                  <c:v>8881083715.0730381</c:v>
                </c:pt>
                <c:pt idx="19">
                  <c:v>142743079.76355842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9665.2632524468208</c:v>
                </c:pt>
                <c:pt idx="1">
                  <c:v>10163.107489971804</c:v>
                </c:pt>
                <c:pt idx="2">
                  <c:v>10685.265863242776</c:v>
                </c:pt>
                <c:pt idx="3">
                  <c:v>11231.104820501308</c:v>
                </c:pt>
                <c:pt idx="4">
                  <c:v>11799.41518234551</c:v>
                </c:pt>
                <c:pt idx="5">
                  <c:v>12388.28890156243</c:v>
                </c:pt>
                <c:pt idx="6">
                  <c:v>12994.988772509689</c:v>
                </c:pt>
                <c:pt idx="7">
                  <c:v>13615.817890926943</c:v>
                </c:pt>
                <c:pt idx="8">
                  <c:v>14245.998914127487</c:v>
                </c:pt>
                <c:pt idx="9">
                  <c:v>14879.576774244289</c:v>
                </c:pt>
                <c:pt idx="10">
                  <c:v>15509.362013903925</c:v>
                </c:pt>
                <c:pt idx="11">
                  <c:v>16126.934630583504</c:v>
                </c:pt>
                <c:pt idx="12">
                  <c:v>16722.729249666503</c:v>
                </c:pt>
                <c:pt idx="13">
                  <c:v>17286.22044672049</c:v>
                </c:pt>
                <c:pt idx="14">
                  <c:v>17806.221029933688</c:v>
                </c:pt>
                <c:pt idx="15">
                  <c:v>18271.295453874449</c:v>
                </c:pt>
                <c:pt idx="16">
                  <c:v>18670.275566988341</c:v>
                </c:pt>
                <c:pt idx="17">
                  <c:v>18992.848213080968</c:v>
                </c:pt>
                <c:pt idx="18">
                  <c:v>19230.166839067275</c:v>
                </c:pt>
                <c:pt idx="19">
                  <c:v>19375.426238221116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243612934267289.09</c:v>
                </c:pt>
                <c:pt idx="1">
                  <c:v>198463146022088.72</c:v>
                </c:pt>
                <c:pt idx="2">
                  <c:v>157218855920369.91</c:v>
                </c:pt>
                <c:pt idx="3">
                  <c:v>120590654480579.8</c:v>
                </c:pt>
                <c:pt idx="4">
                  <c:v>89109919935584.859</c:v>
                </c:pt>
                <c:pt idx="5">
                  <c:v>63062903387686.781</c:v>
                </c:pt>
                <c:pt idx="6">
                  <c:v>42443880338767.617</c:v>
                </c:pt>
                <c:pt idx="7">
                  <c:v>26941115072848.211</c:v>
                </c:pt>
                <c:pt idx="8">
                  <c:v>15965708694321.674</c:v>
                </c:pt>
                <c:pt idx="9">
                  <c:v>8724916221096.3857</c:v>
                </c:pt>
                <c:pt idx="10">
                  <c:v>4329486983114.1709</c:v>
                </c:pt>
                <c:pt idx="11">
                  <c:v>1912769544833.2151</c:v>
                </c:pt>
                <c:pt idx="12">
                  <c:v>733148303497.71716</c:v>
                </c:pt>
                <c:pt idx="13">
                  <c:v>235318650958.87921</c:v>
                </c:pt>
                <c:pt idx="14">
                  <c:v>60120843724.778976</c:v>
                </c:pt>
                <c:pt idx="15">
                  <c:v>11316072098.817612</c:v>
                </c:pt>
                <c:pt idx="16">
                  <c:v>1380420720.4658267</c:v>
                </c:pt>
                <c:pt idx="17">
                  <c:v>85974446.708442941</c:v>
                </c:pt>
                <c:pt idx="18">
                  <c:v>1603436.0997571012</c:v>
                </c:pt>
                <c:pt idx="19">
                  <c:v>1636.246319000323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13531.368553425549</c:v>
                </c:pt>
                <c:pt idx="1">
                  <c:v>14228.350485960525</c:v>
                </c:pt>
                <c:pt idx="2">
                  <c:v>14959.372208539888</c:v>
                </c:pt>
                <c:pt idx="3">
                  <c:v>15723.546748701834</c:v>
                </c:pt>
                <c:pt idx="4">
                  <c:v>16519.181255283715</c:v>
                </c:pt>
                <c:pt idx="5">
                  <c:v>17343.604462187403</c:v>
                </c:pt>
                <c:pt idx="6">
                  <c:v>18192.984281513563</c:v>
                </c:pt>
                <c:pt idx="7">
                  <c:v>19062.145047297719</c:v>
                </c:pt>
                <c:pt idx="8">
                  <c:v>19944.398479778483</c:v>
                </c:pt>
                <c:pt idx="9">
                  <c:v>20831.407483942006</c:v>
                </c:pt>
                <c:pt idx="10">
                  <c:v>21713.106819465494</c:v>
                </c:pt>
                <c:pt idx="11">
                  <c:v>22577.708482816906</c:v>
                </c:pt>
                <c:pt idx="12">
                  <c:v>23411.820949533103</c:v>
                </c:pt>
                <c:pt idx="13">
                  <c:v>24200.708625408686</c:v>
                </c:pt>
                <c:pt idx="14">
                  <c:v>24928.709441907165</c:v>
                </c:pt>
                <c:pt idx="15">
                  <c:v>25579.813635424231</c:v>
                </c:pt>
                <c:pt idx="16">
                  <c:v>26138.385793783676</c:v>
                </c:pt>
                <c:pt idx="17">
                  <c:v>26589.987498313352</c:v>
                </c:pt>
                <c:pt idx="18">
                  <c:v>26922.233574694186</c:v>
                </c:pt>
                <c:pt idx="19">
                  <c:v>27125.596733509563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96039444403042.359</c:v>
                </c:pt>
                <c:pt idx="1">
                  <c:v>71561133877691.563</c:v>
                </c:pt>
                <c:pt idx="2">
                  <c:v>51253892193394.516</c:v>
                </c:pt>
                <c:pt idx="3">
                  <c:v>35075034671233.973</c:v>
                </c:pt>
                <c:pt idx="4">
                  <c:v>22774363338796.027</c:v>
                </c:pt>
                <c:pt idx="5">
                  <c:v>13915185396324.717</c:v>
                </c:pt>
                <c:pt idx="6">
                  <c:v>7922913817508.7354</c:v>
                </c:pt>
                <c:pt idx="7">
                  <c:v>4154992424719.4995</c:v>
                </c:pt>
                <c:pt idx="8">
                  <c:v>1978941332322.3369</c:v>
                </c:pt>
                <c:pt idx="9">
                  <c:v>841375558648.57019</c:v>
                </c:pt>
                <c:pt idx="10">
                  <c:v>312542086283.78888</c:v>
                </c:pt>
                <c:pt idx="11">
                  <c:v>98689315158.875397</c:v>
                </c:pt>
                <c:pt idx="12">
                  <c:v>25549826903.451878</c:v>
                </c:pt>
                <c:pt idx="13">
                  <c:v>5161958209.5715837</c:v>
                </c:pt>
                <c:pt idx="14">
                  <c:v>758190650.30101466</c:v>
                </c:pt>
                <c:pt idx="15">
                  <c:v>72662700.043613672</c:v>
                </c:pt>
                <c:pt idx="16">
                  <c:v>3798118.7727139504</c:v>
                </c:pt>
                <c:pt idx="17">
                  <c:v>77548.757651641645</c:v>
                </c:pt>
                <c:pt idx="18">
                  <c:v>293.07983221294137</c:v>
                </c:pt>
                <c:pt idx="19">
                  <c:v>1.8982585369161534E-2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17397.473854404278</c:v>
                </c:pt>
                <c:pt idx="1">
                  <c:v>18293.593481949247</c:v>
                </c:pt>
                <c:pt idx="2">
                  <c:v>19233.478553836998</c:v>
                </c:pt>
                <c:pt idx="3">
                  <c:v>20215.988676902358</c:v>
                </c:pt>
                <c:pt idx="4">
                  <c:v>21238.947328221919</c:v>
                </c:pt>
                <c:pt idx="5">
                  <c:v>22298.920022812374</c:v>
                </c:pt>
                <c:pt idx="6">
                  <c:v>23390.979790517438</c:v>
                </c:pt>
                <c:pt idx="7">
                  <c:v>24508.472203668498</c:v>
                </c:pt>
                <c:pt idx="8">
                  <c:v>25642.798045429477</c:v>
                </c:pt>
                <c:pt idx="9">
                  <c:v>26783.238193639721</c:v>
                </c:pt>
                <c:pt idx="10">
                  <c:v>27916.851625027066</c:v>
                </c:pt>
                <c:pt idx="11">
                  <c:v>29028.48233505031</c:v>
                </c:pt>
                <c:pt idx="12">
                  <c:v>30100.912649399706</c:v>
                </c:pt>
                <c:pt idx="13">
                  <c:v>31115.196804096882</c:v>
                </c:pt>
                <c:pt idx="14">
                  <c:v>32051.19785388064</c:v>
                </c:pt>
                <c:pt idx="15">
                  <c:v>32888.331816974009</c:v>
                </c:pt>
                <c:pt idx="16">
                  <c:v>33606.496020579012</c:v>
                </c:pt>
                <c:pt idx="17">
                  <c:v>34187.12678354574</c:v>
                </c:pt>
                <c:pt idx="18">
                  <c:v>34614.300310321094</c:v>
                </c:pt>
                <c:pt idx="19">
                  <c:v>34875.767228798009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38417377089717.102</c:v>
                </c:pt>
                <c:pt idx="1">
                  <c:v>26163366417501.352</c:v>
                </c:pt>
                <c:pt idx="2">
                  <c:v>16929985128650.855</c:v>
                </c:pt>
                <c:pt idx="3">
                  <c:v>10329467949809.484</c:v>
                </c:pt>
                <c:pt idx="4">
                  <c:v>5889121845270.8105</c:v>
                </c:pt>
                <c:pt idx="5">
                  <c:v>3104410699612.3569</c:v>
                </c:pt>
                <c:pt idx="6">
                  <c:v>1494255451886.4402</c:v>
                </c:pt>
                <c:pt idx="7">
                  <c:v>646986852950.41406</c:v>
                </c:pt>
                <c:pt idx="8">
                  <c:v>247489051918.53464</c:v>
                </c:pt>
                <c:pt idx="9">
                  <c:v>81811410897.372772</c:v>
                </c:pt>
                <c:pt idx="10">
                  <c:v>22735482765.237286</c:v>
                </c:pt>
                <c:pt idx="11">
                  <c:v>5127939528.4062166</c:v>
                </c:pt>
                <c:pt idx="12">
                  <c:v>896203939.79170454</c:v>
                </c:pt>
                <c:pt idx="13">
                  <c:v>113912472.75130455</c:v>
                </c:pt>
                <c:pt idx="14">
                  <c:v>9614518.9633982219</c:v>
                </c:pt>
                <c:pt idx="15">
                  <c:v>468969.29858662892</c:v>
                </c:pt>
                <c:pt idx="16">
                  <c:v>10500.043503173043</c:v>
                </c:pt>
                <c:pt idx="17">
                  <c:v>70.262605992907993</c:v>
                </c:pt>
                <c:pt idx="18">
                  <c:v>5.3799130099467032E-2</c:v>
                </c:pt>
                <c:pt idx="19">
                  <c:v>2.2113772954465711E-7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21263.579155383006</c:v>
                </c:pt>
                <c:pt idx="1">
                  <c:v>22358.836477937966</c:v>
                </c:pt>
                <c:pt idx="2">
                  <c:v>23507.584899134108</c:v>
                </c:pt>
                <c:pt idx="3">
                  <c:v>24708.43060510288</c:v>
                </c:pt>
                <c:pt idx="4">
                  <c:v>25958.713401160123</c:v>
                </c:pt>
                <c:pt idx="5">
                  <c:v>27254.235583437341</c:v>
                </c:pt>
                <c:pt idx="6">
                  <c:v>28588.975299521313</c:v>
                </c:pt>
                <c:pt idx="7">
                  <c:v>29954.799360039273</c:v>
                </c:pt>
                <c:pt idx="8">
                  <c:v>31341.197611080468</c:v>
                </c:pt>
                <c:pt idx="9">
                  <c:v>32735.068903337436</c:v>
                </c:pt>
                <c:pt idx="10">
                  <c:v>34120.596430588637</c:v>
                </c:pt>
                <c:pt idx="11">
                  <c:v>35479.25618728371</c:v>
                </c:pt>
                <c:pt idx="12">
                  <c:v>36790.004349266303</c:v>
                </c:pt>
                <c:pt idx="13">
                  <c:v>38029.684982785075</c:v>
                </c:pt>
                <c:pt idx="14">
                  <c:v>39173.686265854114</c:v>
                </c:pt>
                <c:pt idx="15">
                  <c:v>40196.849998523787</c:v>
                </c:pt>
                <c:pt idx="16">
                  <c:v>41074.606247374344</c:v>
                </c:pt>
                <c:pt idx="17">
                  <c:v>41784.266068778124</c:v>
                </c:pt>
                <c:pt idx="18">
                  <c:v>42306.367045948005</c:v>
                </c:pt>
                <c:pt idx="19">
                  <c:v>42625.937724086456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15481242538419.479</c:v>
                </c:pt>
                <c:pt idx="1">
                  <c:v>9632482794797.8184</c:v>
                </c:pt>
                <c:pt idx="2">
                  <c:v>5629156958705.2695</c:v>
                </c:pt>
                <c:pt idx="3">
                  <c:v>3060871237833.5967</c:v>
                </c:pt>
                <c:pt idx="4">
                  <c:v>1531702339506.5461</c:v>
                </c:pt>
                <c:pt idx="5">
                  <c:v>696344187534.53235</c:v>
                </c:pt>
                <c:pt idx="6">
                  <c:v>283242208088.42511</c:v>
                </c:pt>
                <c:pt idx="7">
                  <c:v>101217768742.80086</c:v>
                </c:pt>
                <c:pt idx="8">
                  <c:v>31085874379.518738</c:v>
                </c:pt>
                <c:pt idx="9">
                  <c:v>7986853263.9881153</c:v>
                </c:pt>
                <c:pt idx="10">
                  <c:v>1659962319.5090621</c:v>
                </c:pt>
                <c:pt idx="11">
                  <c:v>267351263.95169073</c:v>
                </c:pt>
                <c:pt idx="12">
                  <c:v>31533285.769613594</c:v>
                </c:pt>
                <c:pt idx="13">
                  <c:v>2520915.5470687388</c:v>
                </c:pt>
                <c:pt idx="14">
                  <c:v>122237.57289587056</c:v>
                </c:pt>
                <c:pt idx="15">
                  <c:v>3033.9995984359316</c:v>
                </c:pt>
                <c:pt idx="16">
                  <c:v>29.092153664789475</c:v>
                </c:pt>
                <c:pt idx="17">
                  <c:v>6.3793292214553987E-2</c:v>
                </c:pt>
                <c:pt idx="18">
                  <c:v>9.8951284441897995E-6</c:v>
                </c:pt>
                <c:pt idx="19">
                  <c:v>2.5810716966541471E-12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25129.684456361734</c:v>
                </c:pt>
                <c:pt idx="1">
                  <c:v>26424.079473926686</c:v>
                </c:pt>
                <c:pt idx="2">
                  <c:v>27781.691244431215</c:v>
                </c:pt>
                <c:pt idx="3">
                  <c:v>29200.872533303402</c:v>
                </c:pt>
                <c:pt idx="4">
                  <c:v>30678.479474098323</c:v>
                </c:pt>
                <c:pt idx="5">
                  <c:v>32209.551144062312</c:v>
                </c:pt>
                <c:pt idx="6">
                  <c:v>33786.970808525184</c:v>
                </c:pt>
                <c:pt idx="7">
                  <c:v>35401.126516410048</c:v>
                </c:pt>
                <c:pt idx="8">
                  <c:v>37039.597176731462</c:v>
                </c:pt>
                <c:pt idx="9">
                  <c:v>38686.899613035152</c:v>
                </c:pt>
                <c:pt idx="10">
                  <c:v>40324.341236150205</c:v>
                </c:pt>
                <c:pt idx="11">
                  <c:v>41930.030039517107</c:v>
                </c:pt>
                <c:pt idx="12">
                  <c:v>43479.096049132902</c:v>
                </c:pt>
                <c:pt idx="13">
                  <c:v>44944.173161473271</c:v>
                </c:pt>
                <c:pt idx="14">
                  <c:v>46296.174677827585</c:v>
                </c:pt>
                <c:pt idx="15">
                  <c:v>47505.368180073565</c:v>
                </c:pt>
                <c:pt idx="16">
                  <c:v>48542.716474169676</c:v>
                </c:pt>
                <c:pt idx="17">
                  <c:v>49381.405354010509</c:v>
                </c:pt>
                <c:pt idx="18">
                  <c:v>49998.43378157491</c:v>
                </c:pt>
                <c:pt idx="19">
                  <c:v>50376.108219374895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6265198935815.6084</c:v>
                </c:pt>
                <c:pt idx="1">
                  <c:v>3560638289693.9561</c:v>
                </c:pt>
                <c:pt idx="2">
                  <c:v>1878756010370.855</c:v>
                </c:pt>
                <c:pt idx="3">
                  <c:v>910226016873.07715</c:v>
                </c:pt>
                <c:pt idx="4">
                  <c:v>399699956035.98828</c:v>
                </c:pt>
                <c:pt idx="5">
                  <c:v>156677201925.63156</c:v>
                </c:pt>
                <c:pt idx="6">
                  <c:v>53843352528.49411</c:v>
                </c:pt>
                <c:pt idx="7">
                  <c:v>15876915211.502783</c:v>
                </c:pt>
                <c:pt idx="8">
                  <c:v>3914072135.0913267</c:v>
                </c:pt>
                <c:pt idx="9">
                  <c:v>781467035.67635238</c:v>
                </c:pt>
                <c:pt idx="10">
                  <c:v>121446286.06257696</c:v>
                </c:pt>
                <c:pt idx="11">
                  <c:v>13964878.481662551</c:v>
                </c:pt>
                <c:pt idx="12">
                  <c:v>1111414.5788501424</c:v>
                </c:pt>
                <c:pt idx="13">
                  <c:v>55875.906601682567</c:v>
                </c:pt>
                <c:pt idx="14">
                  <c:v>1556.3327024097766</c:v>
                </c:pt>
                <c:pt idx="15">
                  <c:v>19.654215367107337</c:v>
                </c:pt>
                <c:pt idx="16">
                  <c:v>8.0702355802826031E-2</c:v>
                </c:pt>
                <c:pt idx="17">
                  <c:v>5.7985115399937044E-5</c:v>
                </c:pt>
                <c:pt idx="18">
                  <c:v>1.8219352177046658E-9</c:v>
                </c:pt>
                <c:pt idx="19">
                  <c:v>3.0156928040827892E-17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28995.789757340463</c:v>
                </c:pt>
                <c:pt idx="1">
                  <c:v>30489.322469915413</c:v>
                </c:pt>
                <c:pt idx="2">
                  <c:v>32055.797589728329</c:v>
                </c:pt>
                <c:pt idx="3">
                  <c:v>33693.314461503927</c:v>
                </c:pt>
                <c:pt idx="4">
                  <c:v>35398.245547036531</c:v>
                </c:pt>
                <c:pt idx="5">
                  <c:v>37164.866704687287</c:v>
                </c:pt>
                <c:pt idx="6">
                  <c:v>38984.966317529063</c:v>
                </c:pt>
                <c:pt idx="7">
                  <c:v>40847.453672780823</c:v>
                </c:pt>
                <c:pt idx="8">
                  <c:v>42737.996742382456</c:v>
                </c:pt>
                <c:pt idx="9">
                  <c:v>44638.730322732867</c:v>
                </c:pt>
                <c:pt idx="10">
                  <c:v>46528.086041711773</c:v>
                </c:pt>
                <c:pt idx="11">
                  <c:v>48380.803891750518</c:v>
                </c:pt>
                <c:pt idx="12">
                  <c:v>50168.187748999509</c:v>
                </c:pt>
                <c:pt idx="13">
                  <c:v>51858.661340161467</c:v>
                </c:pt>
                <c:pt idx="14">
                  <c:v>53418.663089801063</c:v>
                </c:pt>
                <c:pt idx="15">
                  <c:v>54813.886361623343</c:v>
                </c:pt>
                <c:pt idx="16">
                  <c:v>56010.826700965015</c:v>
                </c:pt>
                <c:pt idx="17">
                  <c:v>56978.5446392429</c:v>
                </c:pt>
                <c:pt idx="18">
                  <c:v>57690.500517201828</c:v>
                </c:pt>
                <c:pt idx="19">
                  <c:v>58126.278714663349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2542341243446.5303</c:v>
                </c:pt>
                <c:pt idx="1">
                  <c:v>1319523687029.4817</c:v>
                </c:pt>
                <c:pt idx="2">
                  <c:v>628533037355.38782</c:v>
                </c:pt>
                <c:pt idx="3">
                  <c:v>271279233502.06927</c:v>
                </c:pt>
                <c:pt idx="4">
                  <c:v>104517984626.3847</c:v>
                </c:pt>
                <c:pt idx="5">
                  <c:v>35320010716.337563</c:v>
                </c:pt>
                <c:pt idx="6">
                  <c:v>10253625421.709265</c:v>
                </c:pt>
                <c:pt idx="7">
                  <c:v>2494520615.7718</c:v>
                </c:pt>
                <c:pt idx="8">
                  <c:v>493570341.25715357</c:v>
                </c:pt>
                <c:pt idx="9">
                  <c:v>76567721.216957465</c:v>
                </c:pt>
                <c:pt idx="10">
                  <c:v>8896494.2713431437</c:v>
                </c:pt>
                <c:pt idx="11">
                  <c:v>730285.17467993754</c:v>
                </c:pt>
                <c:pt idx="12">
                  <c:v>39213.767906305198</c:v>
                </c:pt>
                <c:pt idx="13">
                  <c:v>1239.668316373122</c:v>
                </c:pt>
                <c:pt idx="14">
                  <c:v>19.83252328340507</c:v>
                </c:pt>
                <c:pt idx="15">
                  <c:v>0.12742113004924946</c:v>
                </c:pt>
                <c:pt idx="16">
                  <c:v>2.2403447978385969E-4</c:v>
                </c:pt>
                <c:pt idx="17">
                  <c:v>5.2741754071317631E-8</c:v>
                </c:pt>
                <c:pt idx="18">
                  <c:v>3.3567968253238093E-13</c:v>
                </c:pt>
                <c:pt idx="19">
                  <c:v>3.5256976842257859E-22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 [photons/ s / 0.1% BW]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1933.0526504893642</c:v>
                </c:pt>
                <c:pt idx="1">
                  <c:v>2032.6214979943607</c:v>
                </c:pt>
                <c:pt idx="2">
                  <c:v>2137.0531726485551</c:v>
                </c:pt>
                <c:pt idx="3">
                  <c:v>2246.2209641002619</c:v>
                </c:pt>
                <c:pt idx="4">
                  <c:v>2359.8830364691021</c:v>
                </c:pt>
                <c:pt idx="5">
                  <c:v>2477.6577803124856</c:v>
                </c:pt>
                <c:pt idx="6">
                  <c:v>2598.9977545019374</c:v>
                </c:pt>
                <c:pt idx="7">
                  <c:v>2723.1635781853884</c:v>
                </c:pt>
                <c:pt idx="8">
                  <c:v>2849.1997828254971</c:v>
                </c:pt>
                <c:pt idx="9">
                  <c:v>2975.915354848858</c:v>
                </c:pt>
                <c:pt idx="10">
                  <c:v>3101.8724027807848</c:v>
                </c:pt>
                <c:pt idx="11">
                  <c:v>3225.386926116701</c:v>
                </c:pt>
                <c:pt idx="12">
                  <c:v>3344.5458499333004</c:v>
                </c:pt>
                <c:pt idx="13">
                  <c:v>3457.2440893440976</c:v>
                </c:pt>
                <c:pt idx="14">
                  <c:v>3561.2442059867376</c:v>
                </c:pt>
                <c:pt idx="15">
                  <c:v>3654.2590907748895</c:v>
                </c:pt>
                <c:pt idx="16">
                  <c:v>3734.0551133976678</c:v>
                </c:pt>
                <c:pt idx="17">
                  <c:v>3798.5696426161931</c:v>
                </c:pt>
                <c:pt idx="18">
                  <c:v>3846.0333678134548</c:v>
                </c:pt>
                <c:pt idx="19">
                  <c:v>3875.0852476442233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1971241214591534.5</c:v>
                </c:pt>
                <c:pt idx="1">
                  <c:v>1904873320156350.8</c:v>
                </c:pt>
                <c:pt idx="2">
                  <c:v>1831332508009074</c:v>
                </c:pt>
                <c:pt idx="3">
                  <c:v>1750136587599234.5</c:v>
                </c:pt>
                <c:pt idx="4">
                  <c:v>1660890713660853</c:v>
                </c:pt>
                <c:pt idx="5">
                  <c:v>1563337259543361</c:v>
                </c:pt>
                <c:pt idx="6">
                  <c:v>1457416521517658.8</c:v>
                </c:pt>
                <c:pt idx="7">
                  <c:v>1343337273445074</c:v>
                </c:pt>
                <c:pt idx="8">
                  <c:v>1221654313647202.3</c:v>
                </c:pt>
                <c:pt idx="9">
                  <c:v>1093347652681322.3</c:v>
                </c:pt>
                <c:pt idx="10">
                  <c:v>959895043018519.13</c:v>
                </c:pt>
                <c:pt idx="11">
                  <c:v>823326552095176.38</c:v>
                </c:pt>
                <c:pt idx="12">
                  <c:v>686247517928977.5</c:v>
                </c:pt>
                <c:pt idx="13">
                  <c:v>551815439677950.69</c:v>
                </c:pt>
                <c:pt idx="14">
                  <c:v>423658163221333.38</c:v>
                </c:pt>
                <c:pt idx="15">
                  <c:v>305725906419038.13</c:v>
                </c:pt>
                <c:pt idx="16">
                  <c:v>202078361026569.66</c:v>
                </c:pt>
                <c:pt idx="17">
                  <c:v>116619417996571.47</c:v>
                </c:pt>
                <c:pt idx="18">
                  <c:v>52803958540888.5</c:v>
                </c:pt>
                <c:pt idx="19">
                  <c:v>13350766769318.893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5799.1579514680925</c:v>
                </c:pt>
                <c:pt idx="1">
                  <c:v>6097.864493983082</c:v>
                </c:pt>
                <c:pt idx="2">
                  <c:v>6411.1595179456654</c:v>
                </c:pt>
                <c:pt idx="3">
                  <c:v>6738.6628923007847</c:v>
                </c:pt>
                <c:pt idx="4">
                  <c:v>7079.6491094073053</c:v>
                </c:pt>
                <c:pt idx="5">
                  <c:v>7432.9733409374567</c:v>
                </c:pt>
                <c:pt idx="6">
                  <c:v>7796.9932635058121</c:v>
                </c:pt>
                <c:pt idx="7">
                  <c:v>8169.4907345561651</c:v>
                </c:pt>
                <c:pt idx="8">
                  <c:v>8547.5993484764913</c:v>
                </c:pt>
                <c:pt idx="9">
                  <c:v>8927.7460645465726</c:v>
                </c:pt>
                <c:pt idx="10">
                  <c:v>9305.6172083423553</c:v>
                </c:pt>
                <c:pt idx="11">
                  <c:v>9676.1607783501022</c:v>
                </c:pt>
                <c:pt idx="12">
                  <c:v>10033.637549799902</c:v>
                </c:pt>
                <c:pt idx="13">
                  <c:v>10371.732268032292</c:v>
                </c:pt>
                <c:pt idx="14">
                  <c:v>10683.732617960211</c:v>
                </c:pt>
                <c:pt idx="15">
                  <c:v>10962.777272324669</c:v>
                </c:pt>
                <c:pt idx="16">
                  <c:v>11202.165340193003</c:v>
                </c:pt>
                <c:pt idx="17">
                  <c:v>11395.70892784858</c:v>
                </c:pt>
                <c:pt idx="18">
                  <c:v>11538.100103440365</c:v>
                </c:pt>
                <c:pt idx="19">
                  <c:v>11625.25574293267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640839651308203.63</c:v>
                </c:pt>
                <c:pt idx="1">
                  <c:v>569924086337514.75</c:v>
                </c:pt>
                <c:pt idx="2">
                  <c:v>498585393989083.25</c:v>
                </c:pt>
                <c:pt idx="3">
                  <c:v>427955078636090.19</c:v>
                </c:pt>
                <c:pt idx="4">
                  <c:v>359318006979988.63</c:v>
                </c:pt>
                <c:pt idx="5">
                  <c:v>294057299578266.63</c:v>
                </c:pt>
                <c:pt idx="6">
                  <c:v>233570457912492.44</c:v>
                </c:pt>
                <c:pt idx="7">
                  <c:v>179158465696643.84</c:v>
                </c:pt>
                <c:pt idx="8">
                  <c:v>131896312588575.91</c:v>
                </c:pt>
                <c:pt idx="9">
                  <c:v>92501525693921.859</c:v>
                </c:pt>
                <c:pt idx="10">
                  <c:v>61224884863061.633</c:v>
                </c:pt>
                <c:pt idx="11">
                  <c:v>37791390287940.414</c:v>
                </c:pt>
                <c:pt idx="12">
                  <c:v>21416146609576.086</c:v>
                </c:pt>
                <c:pt idx="13">
                  <c:v>10906695725433.4</c:v>
                </c:pt>
                <c:pt idx="14">
                  <c:v>4841339803432.3086</c:v>
                </c:pt>
                <c:pt idx="15">
                  <c:v>1787847552514.0935</c:v>
                </c:pt>
                <c:pt idx="16">
                  <c:v>508543308580.70911</c:v>
                </c:pt>
                <c:pt idx="17">
                  <c:v>96546047233.115753</c:v>
                </c:pt>
                <c:pt idx="18">
                  <c:v>8881083715.0730381</c:v>
                </c:pt>
                <c:pt idx="19">
                  <c:v>142743079.76355842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[photons/ s /0.1% </a:t>
                </a:r>
                <a:r>
                  <a:rPr lang="pt-BR" sz="800"/>
                  <a:t>Bw]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8.png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552450</xdr:colOff>
      <xdr:row>5</xdr:row>
      <xdr:rowOff>57150</xdr:rowOff>
    </xdr:from>
    <xdr:to>
      <xdr:col>33</xdr:col>
      <xdr:colOff>28575</xdr:colOff>
      <xdr:row>42</xdr:row>
      <xdr:rowOff>97380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8950" y="1171575"/>
          <a:ext cx="8010525" cy="60314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126853</xdr:colOff>
      <xdr:row>17</xdr:row>
      <xdr:rowOff>180022</xdr:rowOff>
    </xdr:from>
    <xdr:to>
      <xdr:col>21</xdr:col>
      <xdr:colOff>692298</xdr:colOff>
      <xdr:row>44</xdr:row>
      <xdr:rowOff>953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755503</xdr:colOff>
      <xdr:row>17</xdr:row>
      <xdr:rowOff>180022</xdr:rowOff>
    </xdr:from>
    <xdr:to>
      <xdr:col>34</xdr:col>
      <xdr:colOff>492273</xdr:colOff>
      <xdr:row>44</xdr:row>
      <xdr:rowOff>953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695325</xdr:colOff>
      <xdr:row>14</xdr:row>
      <xdr:rowOff>19050</xdr:rowOff>
    </xdr:from>
    <xdr:to>
      <xdr:col>6</xdr:col>
      <xdr:colOff>342569</xdr:colOff>
      <xdr:row>17</xdr:row>
      <xdr:rowOff>133264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0150" y="2676525"/>
          <a:ext cx="2647619" cy="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828675</xdr:colOff>
      <xdr:row>26</xdr:row>
      <xdr:rowOff>28576</xdr:rowOff>
    </xdr:from>
    <xdr:to>
      <xdr:col>6</xdr:col>
      <xdr:colOff>142177</xdr:colOff>
      <xdr:row>44</xdr:row>
      <xdr:rowOff>38101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0" y="4914901"/>
          <a:ext cx="2313877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438151</xdr:colOff>
      <xdr:row>45</xdr:row>
      <xdr:rowOff>106515</xdr:rowOff>
    </xdr:from>
    <xdr:to>
      <xdr:col>5</xdr:col>
      <xdr:colOff>76201</xdr:colOff>
      <xdr:row>51</xdr:row>
      <xdr:rowOff>76062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67376" y="8298015"/>
          <a:ext cx="1162050" cy="941097"/>
        </a:xfrm>
        <a:prstGeom prst="rect">
          <a:avLst/>
        </a:prstGeom>
      </xdr:spPr>
    </xdr:pic>
    <xdr:clientData/>
  </xdr:twoCellAnchor>
  <xdr:twoCellAnchor editAs="oneCell">
    <xdr:from>
      <xdr:col>3</xdr:col>
      <xdr:colOff>174236</xdr:colOff>
      <xdr:row>22</xdr:row>
      <xdr:rowOff>18987</xdr:rowOff>
    </xdr:from>
    <xdr:to>
      <xdr:col>5</xdr:col>
      <xdr:colOff>396996</xdr:colOff>
      <xdr:row>24</xdr:row>
      <xdr:rowOff>47625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03461" y="4200462"/>
          <a:ext cx="1746760" cy="409638"/>
        </a:xfrm>
        <a:prstGeom prst="rect">
          <a:avLst/>
        </a:prstGeom>
      </xdr:spPr>
    </xdr:pic>
    <xdr:clientData/>
  </xdr:twoCellAnchor>
  <xdr:twoCellAnchor editAs="oneCell">
    <xdr:from>
      <xdr:col>2</xdr:col>
      <xdr:colOff>209029</xdr:colOff>
      <xdr:row>18</xdr:row>
      <xdr:rowOff>62418</xdr:rowOff>
    </xdr:from>
    <xdr:to>
      <xdr:col>6</xdr:col>
      <xdr:colOff>561144</xdr:colOff>
      <xdr:row>21</xdr:row>
      <xdr:rowOff>19050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23854" y="3577143"/>
          <a:ext cx="3352490" cy="5281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34</xdr:row>
          <xdr:rowOff>95250</xdr:rowOff>
        </xdr:from>
        <xdr:to>
          <xdr:col>1</xdr:col>
          <xdr:colOff>1057275</xdr:colOff>
          <xdr:row>37</xdr:row>
          <xdr:rowOff>95250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MagNet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461115</xdr:colOff>
      <xdr:row>24</xdr:row>
      <xdr:rowOff>38100</xdr:rowOff>
    </xdr:from>
    <xdr:to>
      <xdr:col>16</xdr:col>
      <xdr:colOff>314325</xdr:colOff>
      <xdr:row>37</xdr:row>
      <xdr:rowOff>114990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333376</xdr:colOff>
      <xdr:row>24</xdr:row>
      <xdr:rowOff>47624</xdr:rowOff>
    </xdr:from>
    <xdr:to>
      <xdr:col>9</xdr:col>
      <xdr:colOff>495301</xdr:colOff>
      <xdr:row>37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238125</xdr:colOff>
      <xdr:row>0</xdr:row>
      <xdr:rowOff>66676</xdr:rowOff>
    </xdr:from>
    <xdr:to>
      <xdr:col>29</xdr:col>
      <xdr:colOff>447675</xdr:colOff>
      <xdr:row>17</xdr:row>
      <xdr:rowOff>152400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18</xdr:row>
      <xdr:rowOff>104775</xdr:rowOff>
    </xdr:from>
    <xdr:to>
      <xdr:col>29</xdr:col>
      <xdr:colOff>428625</xdr:colOff>
      <xdr:row>32</xdr:row>
      <xdr:rowOff>142875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247650</xdr:colOff>
      <xdr:row>1</xdr:row>
      <xdr:rowOff>90092</xdr:rowOff>
    </xdr:from>
    <xdr:to>
      <xdr:col>3</xdr:col>
      <xdr:colOff>1609726</xdr:colOff>
      <xdr:row>4</xdr:row>
      <xdr:rowOff>62225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34025" y="356792"/>
          <a:ext cx="1362076" cy="553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K4" sqref="K4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1" customHeight="1" x14ac:dyDescent="0.4">
      <c r="A1" s="92" t="s">
        <v>23</v>
      </c>
      <c r="B1" s="93"/>
      <c r="C1" s="93"/>
      <c r="D1" s="93"/>
      <c r="E1" s="93"/>
      <c r="F1" s="93"/>
      <c r="G1" s="93"/>
      <c r="H1" s="93"/>
      <c r="I1" s="94"/>
      <c r="J1" s="10"/>
      <c r="K1" s="92" t="s">
        <v>32</v>
      </c>
      <c r="L1" s="93"/>
      <c r="M1" s="93"/>
      <c r="N1" s="93"/>
      <c r="O1" s="93"/>
      <c r="P1" s="93"/>
      <c r="Q1" s="93"/>
      <c r="R1" s="93"/>
      <c r="S1" s="94"/>
      <c r="T1" s="10"/>
    </row>
    <row r="2" spans="1:20" x14ac:dyDescent="0.2">
      <c r="A2" s="11"/>
      <c r="B2" s="12"/>
      <c r="C2" s="12"/>
      <c r="D2" s="12"/>
      <c r="E2" s="12"/>
      <c r="F2" s="12"/>
      <c r="G2" s="12"/>
      <c r="H2" s="12"/>
      <c r="I2" s="13"/>
      <c r="K2" s="11"/>
      <c r="L2" s="12"/>
      <c r="M2" s="12"/>
      <c r="N2" s="12"/>
      <c r="O2" s="12"/>
      <c r="P2" s="12"/>
      <c r="Q2" s="12"/>
      <c r="R2" s="12"/>
      <c r="S2" s="13"/>
    </row>
    <row r="3" spans="1:20" ht="15.75" x14ac:dyDescent="0.25">
      <c r="A3" s="11"/>
      <c r="B3" s="12"/>
      <c r="C3" s="12"/>
      <c r="D3" s="8" t="s">
        <v>24</v>
      </c>
      <c r="E3" s="88">
        <v>2.4</v>
      </c>
      <c r="F3" s="88"/>
      <c r="G3" s="12"/>
      <c r="H3" s="12"/>
      <c r="I3" s="13"/>
      <c r="K3" s="11"/>
      <c r="L3" s="12"/>
      <c r="M3" s="12"/>
      <c r="N3" s="8" t="s">
        <v>24</v>
      </c>
      <c r="O3" s="88">
        <v>2.4</v>
      </c>
      <c r="P3" s="88"/>
      <c r="Q3" s="12"/>
      <c r="R3" s="12"/>
      <c r="S3" s="13"/>
    </row>
    <row r="4" spans="1:20" ht="15.75" x14ac:dyDescent="0.25">
      <c r="A4" s="11"/>
      <c r="B4" s="12"/>
      <c r="C4" s="12"/>
      <c r="D4" s="9" t="s">
        <v>25</v>
      </c>
      <c r="E4" s="89">
        <f xml:space="preserve"> ROUNDUP((-0.1034*(E3/2)^3 + 0.7783*(E3/2)^2 + 0.109*(E3/2) + 3.1763)*2,2)</f>
        <v>8.5</v>
      </c>
      <c r="F4" s="89"/>
      <c r="G4" s="12"/>
      <c r="H4" s="12"/>
      <c r="I4" s="13"/>
      <c r="K4" s="11"/>
      <c r="L4" s="12"/>
      <c r="M4" s="12"/>
      <c r="N4" s="9" t="s">
        <v>25</v>
      </c>
      <c r="O4" s="89">
        <f xml:space="preserve"> ROUNDUP((-0.00008*(O3/2)^3 + 0.0184*(O3/2)^2 - 0.00008*(O3/2) + 11.542)*2,2)</f>
        <v>23.14</v>
      </c>
      <c r="P4" s="89"/>
      <c r="Q4" s="12"/>
      <c r="R4" s="12"/>
      <c r="S4" s="13"/>
    </row>
    <row r="5" spans="1:20" ht="15.75" x14ac:dyDescent="0.25">
      <c r="A5" s="11"/>
      <c r="B5" s="12"/>
      <c r="C5" s="12"/>
      <c r="D5" s="9" t="s">
        <v>26</v>
      </c>
      <c r="E5" s="90">
        <f>ROUNDUP((-0.045*(E3/2)^3 + 0.3642*(E3/2)^2 + 0.0265*(E3/2) + 1.9042)*2,2)</f>
        <v>4.7699999999999996</v>
      </c>
      <c r="F5" s="91"/>
      <c r="G5" s="12"/>
      <c r="H5" s="12"/>
      <c r="I5" s="13"/>
      <c r="K5" s="11"/>
      <c r="L5" s="12"/>
      <c r="M5" s="12"/>
      <c r="N5" s="9" t="s">
        <v>26</v>
      </c>
      <c r="O5" s="90">
        <f>ROUNDUP((-0.008*(O3/2)^3 + 0.1233*(O3/2)^2 - 0.0051*(O3/2) + 2.8442)*2,2)</f>
        <v>6.01</v>
      </c>
      <c r="P5" s="91"/>
      <c r="Q5" s="12"/>
      <c r="R5" s="12"/>
      <c r="S5" s="13"/>
    </row>
    <row r="6" spans="1:20" x14ac:dyDescent="0.2">
      <c r="A6" s="11"/>
      <c r="B6" s="12"/>
      <c r="C6" s="12"/>
      <c r="D6" s="14"/>
      <c r="E6" s="12"/>
      <c r="F6" s="12"/>
      <c r="G6" s="12"/>
      <c r="H6" s="12"/>
      <c r="I6" s="13"/>
      <c r="K6" s="11"/>
      <c r="L6" s="12"/>
      <c r="M6" s="12"/>
      <c r="N6" s="14"/>
      <c r="O6" s="12"/>
      <c r="P6" s="12"/>
      <c r="Q6" s="12"/>
      <c r="R6" s="12"/>
      <c r="S6" s="13"/>
    </row>
    <row r="7" spans="1:20" x14ac:dyDescent="0.2">
      <c r="A7" s="15" t="s">
        <v>20</v>
      </c>
      <c r="B7" s="6" t="s">
        <v>21</v>
      </c>
      <c r="C7" s="6" t="s">
        <v>22</v>
      </c>
      <c r="D7" s="12"/>
      <c r="E7" s="12"/>
      <c r="F7" s="12"/>
      <c r="G7" s="12"/>
      <c r="H7" s="12"/>
      <c r="I7" s="13"/>
      <c r="K7" s="15" t="s">
        <v>20</v>
      </c>
      <c r="L7" s="6" t="s">
        <v>21</v>
      </c>
      <c r="M7" s="6" t="s">
        <v>22</v>
      </c>
      <c r="N7" s="12"/>
      <c r="O7" s="12"/>
      <c r="P7" s="12"/>
      <c r="Q7" s="12"/>
      <c r="R7" s="12"/>
      <c r="S7" s="13"/>
    </row>
    <row r="8" spans="1:20" x14ac:dyDescent="0.2">
      <c r="A8" s="16">
        <v>0</v>
      </c>
      <c r="B8" s="7">
        <v>3.1895799999999999</v>
      </c>
      <c r="C8" s="7">
        <v>1.9079600000000001</v>
      </c>
      <c r="D8" s="12"/>
      <c r="E8" s="12"/>
      <c r="F8" s="12"/>
      <c r="G8" s="12"/>
      <c r="H8" s="12"/>
      <c r="I8" s="13"/>
      <c r="K8" s="20">
        <v>0</v>
      </c>
      <c r="L8" s="5">
        <v>11.54238</v>
      </c>
      <c r="M8" s="5">
        <v>2.8438699999999999</v>
      </c>
      <c r="N8" s="12"/>
      <c r="O8" s="12"/>
      <c r="P8" s="12"/>
      <c r="Q8" s="12"/>
      <c r="R8" s="12"/>
      <c r="S8" s="13"/>
    </row>
    <row r="9" spans="1:20" x14ac:dyDescent="0.2">
      <c r="A9" s="16">
        <v>0</v>
      </c>
      <c r="B9" s="7">
        <v>3.1895799999999999</v>
      </c>
      <c r="C9" s="7">
        <v>1.9079600000000001</v>
      </c>
      <c r="D9" s="12"/>
      <c r="E9" s="12"/>
      <c r="F9" s="12"/>
      <c r="G9" s="12"/>
      <c r="H9" s="12"/>
      <c r="I9" s="13"/>
      <c r="K9" s="20">
        <v>0</v>
      </c>
      <c r="L9" s="5">
        <v>11.54238</v>
      </c>
      <c r="M9" s="5">
        <v>2.8438699999999999</v>
      </c>
      <c r="N9" s="12"/>
      <c r="O9" s="12"/>
      <c r="P9" s="12"/>
      <c r="Q9" s="12"/>
      <c r="R9" s="12"/>
      <c r="S9" s="13"/>
    </row>
    <row r="10" spans="1:20" x14ac:dyDescent="0.2">
      <c r="A10" s="16">
        <v>0.1</v>
      </c>
      <c r="B10" s="7">
        <v>3.1982200000000001</v>
      </c>
      <c r="C10" s="7">
        <v>1.91168</v>
      </c>
      <c r="D10" s="12"/>
      <c r="E10" s="12"/>
      <c r="F10" s="12"/>
      <c r="G10" s="12"/>
      <c r="H10" s="12"/>
      <c r="I10" s="13"/>
      <c r="K10" s="20">
        <v>0</v>
      </c>
      <c r="L10" s="5">
        <v>11.54238</v>
      </c>
      <c r="M10" s="5">
        <v>2.8438699999999999</v>
      </c>
      <c r="N10" s="12"/>
      <c r="O10" s="12"/>
      <c r="P10" s="12"/>
      <c r="Q10" s="12"/>
      <c r="R10" s="12"/>
      <c r="S10" s="13"/>
    </row>
    <row r="11" spans="1:20" x14ac:dyDescent="0.2">
      <c r="A11" s="16">
        <v>0.2</v>
      </c>
      <c r="B11" s="7">
        <v>3.2240099999999998</v>
      </c>
      <c r="C11" s="7">
        <v>1.9228099999999999</v>
      </c>
      <c r="D11" s="12"/>
      <c r="E11" s="12"/>
      <c r="F11" s="12"/>
      <c r="G11" s="12"/>
      <c r="H11" s="12"/>
      <c r="I11" s="13"/>
      <c r="K11" s="20">
        <v>9.5750000000000002E-2</v>
      </c>
      <c r="L11" s="5">
        <v>11.54255</v>
      </c>
      <c r="M11" s="5">
        <v>2.8449</v>
      </c>
      <c r="N11" s="12"/>
      <c r="O11" s="12"/>
      <c r="P11" s="12"/>
      <c r="Q11" s="12"/>
      <c r="R11" s="12"/>
      <c r="S11" s="13"/>
    </row>
    <row r="12" spans="1:20" x14ac:dyDescent="0.2">
      <c r="A12" s="16">
        <v>0.3</v>
      </c>
      <c r="B12" s="7">
        <v>3.26654</v>
      </c>
      <c r="C12" s="7">
        <v>1.9412100000000001</v>
      </c>
      <c r="D12" s="12"/>
      <c r="E12" s="12"/>
      <c r="F12" s="12"/>
      <c r="G12" s="12"/>
      <c r="H12" s="12"/>
      <c r="I12" s="13"/>
      <c r="K12" s="20">
        <v>0.1915</v>
      </c>
      <c r="L12" s="5">
        <v>11.543049999999999</v>
      </c>
      <c r="M12" s="5">
        <v>2.8479899999999998</v>
      </c>
      <c r="N12" s="12"/>
      <c r="O12" s="12"/>
      <c r="P12" s="12"/>
      <c r="Q12" s="12"/>
      <c r="R12" s="12"/>
      <c r="S12" s="13"/>
    </row>
    <row r="13" spans="1:20" x14ac:dyDescent="0.2">
      <c r="A13" s="16">
        <v>0.4</v>
      </c>
      <c r="B13" s="7">
        <v>3.32517</v>
      </c>
      <c r="C13" s="7">
        <v>1.96669</v>
      </c>
      <c r="D13" s="12"/>
      <c r="E13" s="12"/>
      <c r="F13" s="12"/>
      <c r="G13" s="12"/>
      <c r="H13" s="12"/>
      <c r="I13" s="13"/>
      <c r="K13" s="20">
        <v>0.28725000000000001</v>
      </c>
      <c r="L13" s="5">
        <v>11.543889999999999</v>
      </c>
      <c r="M13" s="5">
        <v>2.8531399999999998</v>
      </c>
      <c r="N13" s="12"/>
      <c r="O13" s="12"/>
      <c r="P13" s="12"/>
      <c r="Q13" s="12"/>
      <c r="R13" s="12"/>
      <c r="S13" s="13"/>
    </row>
    <row r="14" spans="1:20" x14ac:dyDescent="0.2">
      <c r="A14" s="16">
        <v>0.5</v>
      </c>
      <c r="B14" s="7">
        <v>3.39906</v>
      </c>
      <c r="C14" s="7">
        <v>1.9989600000000001</v>
      </c>
      <c r="D14" s="12"/>
      <c r="E14" s="12"/>
      <c r="F14" s="12"/>
      <c r="G14" s="12"/>
      <c r="H14" s="12"/>
      <c r="I14" s="13"/>
      <c r="K14" s="20">
        <v>0.38300000000000001</v>
      </c>
      <c r="L14" s="5">
        <v>11.545059999999999</v>
      </c>
      <c r="M14" s="5">
        <v>2.8603299999999998</v>
      </c>
      <c r="N14" s="12"/>
      <c r="O14" s="12"/>
      <c r="P14" s="12"/>
      <c r="Q14" s="12"/>
      <c r="R14" s="12"/>
      <c r="S14" s="13"/>
    </row>
    <row r="15" spans="1:20" x14ac:dyDescent="0.2">
      <c r="A15" s="16">
        <v>0.6</v>
      </c>
      <c r="B15" s="7">
        <v>3.48725</v>
      </c>
      <c r="C15" s="7">
        <v>2.0377200000000002</v>
      </c>
      <c r="D15" s="12"/>
      <c r="E15" s="12"/>
      <c r="F15" s="12"/>
      <c r="G15" s="12"/>
      <c r="H15" s="12"/>
      <c r="I15" s="13"/>
      <c r="K15" s="20">
        <v>0.47875000000000001</v>
      </c>
      <c r="L15" s="5">
        <v>11.546569999999999</v>
      </c>
      <c r="M15" s="5">
        <v>2.8695499999999998</v>
      </c>
      <c r="N15" s="12"/>
      <c r="O15" s="12"/>
      <c r="P15" s="12"/>
      <c r="Q15" s="12"/>
      <c r="R15" s="12"/>
      <c r="S15" s="13"/>
    </row>
    <row r="16" spans="1:20" x14ac:dyDescent="0.2">
      <c r="A16" s="16">
        <v>0.7</v>
      </c>
      <c r="B16" s="7">
        <v>3.5886800000000001</v>
      </c>
      <c r="C16" s="7">
        <v>2.0825900000000002</v>
      </c>
      <c r="D16" s="12"/>
      <c r="E16" s="12"/>
      <c r="F16" s="12"/>
      <c r="G16" s="12"/>
      <c r="H16" s="12"/>
      <c r="I16" s="13"/>
      <c r="K16" s="20">
        <v>0.57450000000000001</v>
      </c>
      <c r="L16" s="5">
        <v>11.548410000000001</v>
      </c>
      <c r="M16" s="5">
        <v>2.8807800000000001</v>
      </c>
      <c r="N16" s="12"/>
      <c r="O16" s="12"/>
      <c r="P16" s="12"/>
      <c r="Q16" s="12"/>
      <c r="R16" s="12"/>
      <c r="S16" s="13"/>
    </row>
    <row r="17" spans="1:19" x14ac:dyDescent="0.2">
      <c r="A17" s="16">
        <v>0.8</v>
      </c>
      <c r="B17" s="7">
        <v>3.7022699999999999</v>
      </c>
      <c r="C17" s="7">
        <v>2.1331899999999999</v>
      </c>
      <c r="D17" s="12"/>
      <c r="E17" s="12"/>
      <c r="F17" s="12"/>
      <c r="G17" s="12"/>
      <c r="H17" s="12"/>
      <c r="I17" s="13"/>
      <c r="K17" s="20">
        <v>0.67025000000000001</v>
      </c>
      <c r="L17" s="5">
        <v>11.55059</v>
      </c>
      <c r="M17" s="5">
        <v>2.8939900000000001</v>
      </c>
      <c r="N17" s="12"/>
      <c r="O17" s="12"/>
      <c r="P17" s="12"/>
      <c r="Q17" s="12"/>
      <c r="R17" s="12"/>
      <c r="S17" s="13"/>
    </row>
    <row r="18" spans="1:19" x14ac:dyDescent="0.2">
      <c r="A18" s="16">
        <v>0.9</v>
      </c>
      <c r="B18" s="7">
        <v>3.8269199999999999</v>
      </c>
      <c r="C18" s="7">
        <v>2.18913</v>
      </c>
      <c r="D18" s="12"/>
      <c r="E18" s="12"/>
      <c r="F18" s="12"/>
      <c r="G18" s="12"/>
      <c r="H18" s="12"/>
      <c r="I18" s="13"/>
      <c r="K18" s="20">
        <v>0.76600000000000001</v>
      </c>
      <c r="L18" s="5">
        <v>11.553089999999999</v>
      </c>
      <c r="M18" s="5">
        <v>2.90916</v>
      </c>
      <c r="N18" s="12"/>
      <c r="O18" s="12"/>
      <c r="P18" s="12"/>
      <c r="Q18" s="12"/>
      <c r="R18" s="12"/>
      <c r="S18" s="13"/>
    </row>
    <row r="19" spans="1:19" x14ac:dyDescent="0.2">
      <c r="A19" s="16">
        <v>1</v>
      </c>
      <c r="B19" s="7">
        <v>3.9615999999999998</v>
      </c>
      <c r="C19" s="7">
        <v>2.25</v>
      </c>
      <c r="D19" s="12"/>
      <c r="E19" s="12"/>
      <c r="F19" s="12"/>
      <c r="G19" s="12"/>
      <c r="H19" s="12"/>
      <c r="I19" s="13"/>
      <c r="K19" s="20">
        <v>0.86175000000000002</v>
      </c>
      <c r="L19" s="5">
        <v>11.55594</v>
      </c>
      <c r="M19" s="5">
        <v>2.92625</v>
      </c>
      <c r="N19" s="12"/>
      <c r="O19" s="12"/>
      <c r="P19" s="12"/>
      <c r="Q19" s="12"/>
      <c r="R19" s="12"/>
      <c r="S19" s="13"/>
    </row>
    <row r="20" spans="1:19" x14ac:dyDescent="0.2">
      <c r="A20" s="16">
        <v>1</v>
      </c>
      <c r="B20" s="7">
        <v>3.9615999999999998</v>
      </c>
      <c r="C20" s="7">
        <v>2.25</v>
      </c>
      <c r="D20" s="12"/>
      <c r="E20" s="12"/>
      <c r="F20" s="12"/>
      <c r="G20" s="12"/>
      <c r="H20" s="12"/>
      <c r="I20" s="13"/>
      <c r="K20" s="20">
        <v>0.95750000000000002</v>
      </c>
      <c r="L20" s="5">
        <v>11.55912</v>
      </c>
      <c r="M20" s="5">
        <v>2.9452500000000001</v>
      </c>
      <c r="N20" s="12"/>
      <c r="O20" s="12"/>
      <c r="P20" s="12"/>
      <c r="Q20" s="12"/>
      <c r="R20" s="12"/>
      <c r="S20" s="13"/>
    </row>
    <row r="21" spans="1:19" x14ac:dyDescent="0.2">
      <c r="A21" s="16">
        <v>1.1000000000000001</v>
      </c>
      <c r="B21" s="7">
        <v>4.1053199999999999</v>
      </c>
      <c r="C21" s="7">
        <v>2.31542</v>
      </c>
      <c r="D21" s="12"/>
      <c r="E21" s="12"/>
      <c r="F21" s="12"/>
      <c r="G21" s="12"/>
      <c r="H21" s="12"/>
      <c r="I21" s="13"/>
      <c r="K21" s="20">
        <v>1.05325</v>
      </c>
      <c r="L21" s="5">
        <v>11.56263</v>
      </c>
      <c r="M21" s="5">
        <v>2.9661</v>
      </c>
      <c r="N21" s="12"/>
      <c r="O21" s="12"/>
      <c r="P21" s="12"/>
      <c r="Q21" s="12"/>
      <c r="R21" s="12"/>
      <c r="S21" s="13"/>
    </row>
    <row r="22" spans="1:19" x14ac:dyDescent="0.2">
      <c r="A22" s="16">
        <v>1.2</v>
      </c>
      <c r="B22" s="7">
        <v>4.2571700000000003</v>
      </c>
      <c r="C22" s="7">
        <v>2.3850099999999999</v>
      </c>
      <c r="D22" s="12"/>
      <c r="E22" s="12"/>
      <c r="F22" s="12"/>
      <c r="G22" s="12"/>
      <c r="H22" s="12"/>
      <c r="I22" s="13"/>
      <c r="K22" s="20">
        <v>1.149</v>
      </c>
      <c r="L22" s="5">
        <v>11.566470000000001</v>
      </c>
      <c r="M22" s="5">
        <v>2.9887600000000001</v>
      </c>
      <c r="N22" s="12"/>
      <c r="O22" s="12"/>
      <c r="P22" s="12"/>
      <c r="Q22" s="12"/>
      <c r="R22" s="12"/>
      <c r="S22" s="13"/>
    </row>
    <row r="23" spans="1:19" x14ac:dyDescent="0.2">
      <c r="A23" s="16">
        <v>1.3</v>
      </c>
      <c r="B23" s="7">
        <v>4.4162999999999997</v>
      </c>
      <c r="C23" s="7">
        <v>2.4584199999999998</v>
      </c>
      <c r="D23" s="12"/>
      <c r="E23" s="12"/>
      <c r="F23" s="12"/>
      <c r="G23" s="12"/>
      <c r="H23" s="12"/>
      <c r="I23" s="13"/>
      <c r="K23" s="20">
        <v>1.24475</v>
      </c>
      <c r="L23" s="5">
        <v>11.570650000000001</v>
      </c>
      <c r="M23" s="5">
        <v>3.0132099999999999</v>
      </c>
      <c r="N23" s="12"/>
      <c r="O23" s="12"/>
      <c r="P23" s="12"/>
      <c r="Q23" s="12"/>
      <c r="R23" s="12"/>
      <c r="S23" s="13"/>
    </row>
    <row r="24" spans="1:19" x14ac:dyDescent="0.2">
      <c r="A24" s="16">
        <v>1.4</v>
      </c>
      <c r="B24" s="7">
        <v>4.5819599999999996</v>
      </c>
      <c r="C24" s="7">
        <v>2.53531</v>
      </c>
      <c r="D24" s="12"/>
      <c r="E24" s="12"/>
      <c r="F24" s="12"/>
      <c r="G24" s="12"/>
      <c r="H24" s="12"/>
      <c r="I24" s="13"/>
      <c r="K24" s="20">
        <v>1.3405</v>
      </c>
      <c r="L24" s="5">
        <v>11.575150000000001</v>
      </c>
      <c r="M24" s="5">
        <v>3.03939</v>
      </c>
      <c r="N24" s="12"/>
      <c r="O24" s="12"/>
      <c r="P24" s="12"/>
      <c r="Q24" s="12"/>
      <c r="R24" s="12"/>
      <c r="S24" s="13"/>
    </row>
    <row r="25" spans="1:19" x14ac:dyDescent="0.2">
      <c r="A25" s="16">
        <v>1.5</v>
      </c>
      <c r="B25" s="7">
        <v>4.7534599999999996</v>
      </c>
      <c r="C25" s="7">
        <v>2.6153900000000001</v>
      </c>
      <c r="D25" s="12"/>
      <c r="E25" s="12"/>
      <c r="F25" s="12"/>
      <c r="G25" s="12"/>
      <c r="H25" s="12"/>
      <c r="I25" s="13"/>
      <c r="K25" s="20">
        <v>1.43625</v>
      </c>
      <c r="L25" s="5">
        <v>11.57999</v>
      </c>
      <c r="M25" s="5">
        <v>3.0672600000000001</v>
      </c>
      <c r="N25" s="12"/>
      <c r="O25" s="12"/>
      <c r="P25" s="12"/>
      <c r="Q25" s="12"/>
      <c r="R25" s="12"/>
      <c r="S25" s="13"/>
    </row>
    <row r="26" spans="1:19" x14ac:dyDescent="0.2">
      <c r="A26" s="16">
        <v>1.5989</v>
      </c>
      <c r="B26" s="7">
        <v>4.9282300000000001</v>
      </c>
      <c r="C26" s="7">
        <v>2.6974300000000002</v>
      </c>
      <c r="D26" s="12"/>
      <c r="E26" s="12"/>
      <c r="F26" s="12"/>
      <c r="G26" s="12"/>
      <c r="H26" s="12"/>
      <c r="I26" s="13"/>
      <c r="K26" s="20">
        <v>1.532</v>
      </c>
      <c r="L26" s="5">
        <v>11.58517</v>
      </c>
      <c r="M26" s="5">
        <v>3.0967799999999999</v>
      </c>
      <c r="N26" s="12"/>
      <c r="O26" s="12"/>
      <c r="P26" s="12"/>
      <c r="Q26" s="12"/>
      <c r="R26" s="12"/>
      <c r="S26" s="13"/>
    </row>
    <row r="27" spans="1:19" x14ac:dyDescent="0.2">
      <c r="A27" s="16">
        <v>1.6978</v>
      </c>
      <c r="B27" s="7">
        <v>5.1075900000000001</v>
      </c>
      <c r="C27" s="7">
        <v>2.7820499999999999</v>
      </c>
      <c r="D27" s="12"/>
      <c r="E27" s="12"/>
      <c r="F27" s="12"/>
      <c r="G27" s="12"/>
      <c r="H27" s="12"/>
      <c r="I27" s="13"/>
      <c r="K27" s="20">
        <v>1.62775</v>
      </c>
      <c r="L27" s="5">
        <v>11.590669999999999</v>
      </c>
      <c r="M27" s="5">
        <v>3.1278899999999998</v>
      </c>
      <c r="N27" s="12"/>
      <c r="O27" s="12"/>
      <c r="P27" s="12"/>
      <c r="Q27" s="12"/>
      <c r="R27" s="12"/>
      <c r="S27" s="13"/>
    </row>
    <row r="28" spans="1:19" x14ac:dyDescent="0.2">
      <c r="A28" s="16">
        <v>1.7967</v>
      </c>
      <c r="B28" s="7">
        <v>5.29108</v>
      </c>
      <c r="C28" s="7">
        <v>2.86903</v>
      </c>
      <c r="D28" s="12"/>
      <c r="E28" s="12"/>
      <c r="F28" s="12"/>
      <c r="G28" s="12"/>
      <c r="H28" s="12"/>
      <c r="I28" s="13"/>
      <c r="K28" s="20">
        <v>1.7235</v>
      </c>
      <c r="L28" s="5">
        <v>11.596500000000001</v>
      </c>
      <c r="M28" s="5">
        <v>3.1605500000000002</v>
      </c>
      <c r="N28" s="12"/>
      <c r="O28" s="12"/>
      <c r="P28" s="12"/>
      <c r="Q28" s="12"/>
      <c r="R28" s="12"/>
      <c r="S28" s="13"/>
    </row>
    <row r="29" spans="1:19" x14ac:dyDescent="0.2">
      <c r="A29" s="16">
        <v>1.8956</v>
      </c>
      <c r="B29" s="7">
        <v>5.4782799999999998</v>
      </c>
      <c r="C29" s="7">
        <v>2.9581499999999998</v>
      </c>
      <c r="D29" s="12"/>
      <c r="E29" s="12"/>
      <c r="F29" s="12"/>
      <c r="G29" s="12"/>
      <c r="H29" s="12"/>
      <c r="I29" s="13"/>
      <c r="K29" s="20">
        <v>1.81925</v>
      </c>
      <c r="L29" s="5">
        <v>11.60267</v>
      </c>
      <c r="M29" s="5">
        <v>3.1947199999999998</v>
      </c>
      <c r="N29" s="12"/>
      <c r="O29" s="12"/>
      <c r="P29" s="12"/>
      <c r="Q29" s="12"/>
      <c r="R29" s="12"/>
      <c r="S29" s="13"/>
    </row>
    <row r="30" spans="1:19" x14ac:dyDescent="0.2">
      <c r="A30" s="16">
        <v>1.9944999999999999</v>
      </c>
      <c r="B30" s="7">
        <v>5.6688299999999998</v>
      </c>
      <c r="C30" s="7">
        <v>3.0492400000000002</v>
      </c>
      <c r="D30" s="12"/>
      <c r="E30" s="12"/>
      <c r="F30" s="12"/>
      <c r="G30" s="12"/>
      <c r="H30" s="12"/>
      <c r="I30" s="13"/>
      <c r="K30" s="20">
        <v>1.915</v>
      </c>
      <c r="L30" s="5">
        <v>11.609159999999999</v>
      </c>
      <c r="M30" s="5">
        <v>3.2303500000000001</v>
      </c>
      <c r="N30" s="12"/>
      <c r="O30" s="12"/>
      <c r="P30" s="12"/>
      <c r="Q30" s="12"/>
      <c r="R30" s="12"/>
      <c r="S30" s="13"/>
    </row>
    <row r="31" spans="1:19" x14ac:dyDescent="0.2">
      <c r="A31" s="16">
        <v>2.0933999999999999</v>
      </c>
      <c r="B31" s="7">
        <v>5.8624000000000001</v>
      </c>
      <c r="C31" s="7">
        <v>3.1421100000000002</v>
      </c>
      <c r="D31" s="12"/>
      <c r="E31" s="12"/>
      <c r="F31" s="12"/>
      <c r="G31" s="12"/>
      <c r="H31" s="12"/>
      <c r="I31" s="13"/>
      <c r="K31" s="20">
        <v>2.0150000000000001</v>
      </c>
      <c r="L31" s="5">
        <v>11.616300000000001</v>
      </c>
      <c r="M31" s="5">
        <v>3.26905</v>
      </c>
      <c r="N31" s="12"/>
      <c r="O31" s="12"/>
      <c r="P31" s="12"/>
      <c r="Q31" s="12"/>
      <c r="R31" s="12"/>
      <c r="S31" s="13"/>
    </row>
    <row r="32" spans="1:19" x14ac:dyDescent="0.2">
      <c r="A32" s="16">
        <v>2.1922999999999999</v>
      </c>
      <c r="B32" s="7">
        <v>6.0586900000000004</v>
      </c>
      <c r="C32" s="7">
        <v>3.2366100000000002</v>
      </c>
      <c r="D32" s="12"/>
      <c r="E32" s="12"/>
      <c r="F32" s="12"/>
      <c r="G32" s="12"/>
      <c r="H32" s="12"/>
      <c r="I32" s="13"/>
      <c r="K32" s="20">
        <v>2.1150000000000002</v>
      </c>
      <c r="L32" s="5">
        <v>11.62379</v>
      </c>
      <c r="M32" s="5">
        <v>3.30924</v>
      </c>
      <c r="N32" s="12"/>
      <c r="O32" s="12"/>
      <c r="P32" s="12"/>
      <c r="Q32" s="12"/>
      <c r="R32" s="12"/>
      <c r="S32" s="13"/>
    </row>
    <row r="33" spans="1:19" x14ac:dyDescent="0.2">
      <c r="A33" s="16">
        <v>2.2911999999999999</v>
      </c>
      <c r="B33" s="7">
        <v>6.25746</v>
      </c>
      <c r="C33" s="7">
        <v>3.3326099999999999</v>
      </c>
      <c r="D33" s="12"/>
      <c r="E33" s="12"/>
      <c r="F33" s="12"/>
      <c r="G33" s="12"/>
      <c r="H33" s="12"/>
      <c r="I33" s="13"/>
      <c r="K33" s="20">
        <v>2.2149999999999999</v>
      </c>
      <c r="L33" s="5">
        <v>11.631640000000001</v>
      </c>
      <c r="M33" s="5">
        <v>3.3508599999999999</v>
      </c>
      <c r="N33" s="12"/>
      <c r="O33" s="12"/>
      <c r="P33" s="12"/>
      <c r="Q33" s="12"/>
      <c r="R33" s="12"/>
      <c r="S33" s="13"/>
    </row>
    <row r="34" spans="1:19" x14ac:dyDescent="0.2">
      <c r="A34" s="16">
        <v>2.3900999999999999</v>
      </c>
      <c r="B34" s="7">
        <v>6.4584700000000002</v>
      </c>
      <c r="C34" s="7">
        <v>3.42997</v>
      </c>
      <c r="D34" s="12"/>
      <c r="E34" s="12"/>
      <c r="F34" s="12"/>
      <c r="G34" s="12"/>
      <c r="H34" s="12"/>
      <c r="I34" s="13"/>
      <c r="K34" s="20">
        <v>2.3149999999999999</v>
      </c>
      <c r="L34" s="5">
        <v>11.639849999999999</v>
      </c>
      <c r="M34" s="5">
        <v>3.3938600000000001</v>
      </c>
      <c r="N34" s="12"/>
      <c r="O34" s="12"/>
      <c r="P34" s="12"/>
      <c r="Q34" s="12"/>
      <c r="R34" s="12"/>
      <c r="S34" s="13"/>
    </row>
    <row r="35" spans="1:19" x14ac:dyDescent="0.2">
      <c r="A35" s="16">
        <v>2.4889999999999999</v>
      </c>
      <c r="B35" s="7">
        <v>6.66153</v>
      </c>
      <c r="C35" s="7">
        <v>3.5285899999999999</v>
      </c>
      <c r="D35" s="12"/>
      <c r="E35" s="12"/>
      <c r="F35" s="12"/>
      <c r="G35" s="12"/>
      <c r="H35" s="12"/>
      <c r="I35" s="13"/>
      <c r="K35" s="20">
        <v>2.375</v>
      </c>
      <c r="L35" s="5">
        <v>11.64494</v>
      </c>
      <c r="M35" s="5">
        <v>3.4202900000000001</v>
      </c>
      <c r="N35" s="12"/>
      <c r="O35" s="12"/>
      <c r="P35" s="12"/>
      <c r="Q35" s="12"/>
      <c r="R35" s="12"/>
      <c r="S35" s="13"/>
    </row>
    <row r="36" spans="1:19" x14ac:dyDescent="0.2">
      <c r="A36" s="16">
        <v>2.5878999999999999</v>
      </c>
      <c r="B36" s="7">
        <v>6.8664399999999999</v>
      </c>
      <c r="C36" s="7">
        <v>3.6283699999999999</v>
      </c>
      <c r="D36" s="12"/>
      <c r="E36" s="12"/>
      <c r="F36" s="12"/>
      <c r="G36" s="12"/>
      <c r="H36" s="12"/>
      <c r="I36" s="13"/>
      <c r="K36" s="20">
        <v>2.375</v>
      </c>
      <c r="L36" s="5">
        <v>11.64494</v>
      </c>
      <c r="M36" s="5">
        <v>3.4202900000000001</v>
      </c>
      <c r="N36" s="12"/>
      <c r="O36" s="12"/>
      <c r="P36" s="12"/>
      <c r="Q36" s="12"/>
      <c r="R36" s="12"/>
      <c r="S36" s="13"/>
    </row>
    <row r="37" spans="1:19" x14ac:dyDescent="0.2">
      <c r="A37" s="16">
        <v>2.6879</v>
      </c>
      <c r="B37" s="7">
        <v>7.0753599999999999</v>
      </c>
      <c r="C37" s="7">
        <v>3.7303299999999999</v>
      </c>
      <c r="D37" s="12"/>
      <c r="E37" s="12"/>
      <c r="F37" s="12"/>
      <c r="G37" s="12"/>
      <c r="H37" s="12"/>
      <c r="I37" s="13"/>
      <c r="K37" s="20">
        <v>2.4750000000000001</v>
      </c>
      <c r="L37" s="5">
        <v>11.65372</v>
      </c>
      <c r="M37" s="5">
        <v>3.4653800000000001</v>
      </c>
      <c r="N37" s="12"/>
      <c r="O37" s="12"/>
      <c r="P37" s="12"/>
      <c r="Q37" s="12"/>
      <c r="R37" s="12"/>
      <c r="S37" s="13"/>
    </row>
    <row r="38" spans="1:19" x14ac:dyDescent="0.2">
      <c r="A38" s="16">
        <v>2.7879</v>
      </c>
      <c r="B38" s="7">
        <v>7.2858700000000001</v>
      </c>
      <c r="C38" s="7">
        <v>3.8332999999999999</v>
      </c>
      <c r="D38" s="12"/>
      <c r="E38" s="12"/>
      <c r="F38" s="12"/>
      <c r="G38" s="12"/>
      <c r="H38" s="12"/>
      <c r="I38" s="13"/>
      <c r="K38" s="20">
        <v>2.4750000000000001</v>
      </c>
      <c r="L38" s="5">
        <v>11.65372</v>
      </c>
      <c r="M38" s="5">
        <v>3.4653800000000001</v>
      </c>
      <c r="N38" s="12"/>
      <c r="O38" s="12"/>
      <c r="P38" s="12"/>
      <c r="Q38" s="12"/>
      <c r="R38" s="12"/>
      <c r="S38" s="13"/>
    </row>
    <row r="39" spans="1:19" x14ac:dyDescent="0.2">
      <c r="A39" s="16">
        <v>2.8879000000000001</v>
      </c>
      <c r="B39" s="7">
        <v>7.4978199999999999</v>
      </c>
      <c r="C39" s="7">
        <v>3.9371800000000001</v>
      </c>
      <c r="D39" s="12"/>
      <c r="E39" s="12"/>
      <c r="F39" s="12"/>
      <c r="G39" s="12"/>
      <c r="H39" s="12"/>
      <c r="I39" s="13"/>
      <c r="K39" s="20">
        <v>2.5750000000000002</v>
      </c>
      <c r="L39" s="5">
        <v>11.662850000000001</v>
      </c>
      <c r="M39" s="5">
        <v>3.51172</v>
      </c>
      <c r="N39" s="12"/>
      <c r="O39" s="12"/>
      <c r="P39" s="12"/>
      <c r="Q39" s="12"/>
      <c r="R39" s="12"/>
      <c r="S39" s="13"/>
    </row>
    <row r="40" spans="1:19" x14ac:dyDescent="0.2">
      <c r="A40" s="16">
        <v>2.9878999999999998</v>
      </c>
      <c r="B40" s="7">
        <v>7.7111200000000002</v>
      </c>
      <c r="C40" s="7">
        <v>4.0419099999999997</v>
      </c>
      <c r="D40" s="12"/>
      <c r="E40" s="12"/>
      <c r="F40" s="12"/>
      <c r="G40" s="12"/>
      <c r="H40" s="12"/>
      <c r="I40" s="13"/>
      <c r="K40" s="20">
        <v>2.665</v>
      </c>
      <c r="L40" s="5">
        <v>11.67137</v>
      </c>
      <c r="M40" s="5">
        <v>3.55444</v>
      </c>
      <c r="N40" s="12"/>
      <c r="O40" s="12"/>
      <c r="P40" s="12"/>
      <c r="Q40" s="12"/>
      <c r="R40" s="12"/>
      <c r="S40" s="13"/>
    </row>
    <row r="41" spans="1:19" x14ac:dyDescent="0.2">
      <c r="A41" s="11"/>
      <c r="B41" s="12"/>
      <c r="C41" s="12"/>
      <c r="D41" s="12"/>
      <c r="E41" s="12"/>
      <c r="F41" s="12"/>
      <c r="G41" s="12"/>
      <c r="H41" s="12"/>
      <c r="I41" s="13"/>
      <c r="K41" s="20">
        <v>2.7549999999999999</v>
      </c>
      <c r="L41" s="5">
        <v>11.68017</v>
      </c>
      <c r="M41" s="5">
        <v>3.5981000000000001</v>
      </c>
      <c r="N41" s="12"/>
      <c r="O41" s="12"/>
      <c r="P41" s="12"/>
      <c r="Q41" s="12"/>
      <c r="R41" s="12"/>
      <c r="S41" s="13"/>
    </row>
    <row r="42" spans="1:19" x14ac:dyDescent="0.2">
      <c r="A42" s="11"/>
      <c r="B42" s="12"/>
      <c r="C42" s="12"/>
      <c r="D42" s="12"/>
      <c r="E42" s="12"/>
      <c r="F42" s="12"/>
      <c r="G42" s="12"/>
      <c r="H42" s="12"/>
      <c r="I42" s="13"/>
      <c r="K42" s="20">
        <v>2.8450000000000002</v>
      </c>
      <c r="L42" s="5">
        <v>11.68927</v>
      </c>
      <c r="M42" s="5">
        <v>3.6426500000000002</v>
      </c>
      <c r="N42" s="12"/>
      <c r="O42" s="12"/>
      <c r="P42" s="12"/>
      <c r="Q42" s="12"/>
      <c r="R42" s="12"/>
      <c r="S42" s="13"/>
    </row>
    <row r="43" spans="1:19" x14ac:dyDescent="0.2">
      <c r="A43" s="11"/>
      <c r="B43" s="12"/>
      <c r="C43" s="12"/>
      <c r="D43" s="12"/>
      <c r="E43" s="12"/>
      <c r="F43" s="12"/>
      <c r="G43" s="12"/>
      <c r="H43" s="12"/>
      <c r="I43" s="13"/>
      <c r="K43" s="20">
        <v>2.9350000000000001</v>
      </c>
      <c r="L43" s="5">
        <v>11.698639999999999</v>
      </c>
      <c r="M43" s="5">
        <v>3.6880799999999998</v>
      </c>
      <c r="N43" s="12"/>
      <c r="O43" s="12"/>
      <c r="P43" s="12"/>
      <c r="Q43" s="12"/>
      <c r="R43" s="12"/>
      <c r="S43" s="13"/>
    </row>
    <row r="44" spans="1:19" ht="13.5" thickBot="1" x14ac:dyDescent="0.25">
      <c r="A44" s="17"/>
      <c r="B44" s="18"/>
      <c r="C44" s="18"/>
      <c r="D44" s="18"/>
      <c r="E44" s="18"/>
      <c r="F44" s="18"/>
      <c r="G44" s="18"/>
      <c r="H44" s="18"/>
      <c r="I44" s="19"/>
      <c r="K44" s="17"/>
      <c r="L44" s="18"/>
      <c r="M44" s="18"/>
      <c r="N44" s="18"/>
      <c r="O44" s="18"/>
      <c r="P44" s="18"/>
      <c r="Q44" s="18"/>
      <c r="R44" s="18"/>
      <c r="S44" s="19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H37"/>
  <sheetViews>
    <sheetView workbookViewId="0">
      <selection activeCell="B39" sqref="B39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0" max="10" width="8.5703125" bestFit="1" customWidth="1"/>
    <col min="11" max="11" width="8.85546875" customWidth="1"/>
    <col min="12" max="13" width="13.140625" bestFit="1" customWidth="1"/>
    <col min="15" max="16" width="13.140625" bestFit="1" customWidth="1"/>
    <col min="18" max="19" width="13.140625" bestFit="1" customWidth="1"/>
    <col min="21" max="22" width="13.140625" bestFit="1" customWidth="1"/>
    <col min="23" max="23" width="7.5703125" bestFit="1" customWidth="1"/>
    <col min="24" max="25" width="13.140625" bestFit="1" customWidth="1"/>
    <col min="26" max="26" width="7.5703125" bestFit="1" customWidth="1"/>
    <col min="27" max="28" width="13.140625" bestFit="1" customWidth="1"/>
    <col min="29" max="29" width="7.5703125" bestFit="1" customWidth="1"/>
    <col min="30" max="31" width="13.140625" bestFit="1" customWidth="1"/>
    <col min="33" max="34" width="13.140625" bestFit="1" customWidth="1"/>
  </cols>
  <sheetData>
    <row r="1" spans="1:34" ht="23.25" customHeight="1" x14ac:dyDescent="0.4">
      <c r="A1" s="92" t="s">
        <v>54</v>
      </c>
      <c r="B1" s="94"/>
      <c r="C1" s="41"/>
      <c r="D1" s="41"/>
      <c r="E1" s="38"/>
      <c r="F1" s="38"/>
      <c r="G1" s="38"/>
      <c r="H1" s="39"/>
      <c r="I1" s="39"/>
      <c r="J1" s="40"/>
    </row>
    <row r="2" spans="1:34" x14ac:dyDescent="0.2">
      <c r="A2" s="11"/>
      <c r="B2" s="13"/>
    </row>
    <row r="3" spans="1:34" ht="15" x14ac:dyDescent="0.25">
      <c r="A3" s="42" t="s">
        <v>49</v>
      </c>
      <c r="B3" s="13"/>
      <c r="D3" s="22" t="s">
        <v>57</v>
      </c>
      <c r="J3" s="26"/>
      <c r="K3" s="95">
        <v>1</v>
      </c>
      <c r="L3" s="95"/>
      <c r="M3" s="95"/>
      <c r="N3" s="95">
        <v>3</v>
      </c>
      <c r="O3" s="95"/>
      <c r="P3" s="95"/>
      <c r="Q3" s="95">
        <v>5</v>
      </c>
      <c r="R3" s="95"/>
      <c r="S3" s="95"/>
      <c r="T3" s="95">
        <v>7</v>
      </c>
      <c r="U3" s="95"/>
      <c r="V3" s="95"/>
      <c r="W3" s="95">
        <v>9</v>
      </c>
      <c r="X3" s="95"/>
      <c r="Y3" s="95"/>
      <c r="Z3" s="95">
        <v>11</v>
      </c>
      <c r="AA3" s="95"/>
      <c r="AB3" s="95"/>
      <c r="AC3" s="95">
        <v>13</v>
      </c>
      <c r="AD3" s="95"/>
      <c r="AE3" s="95"/>
      <c r="AF3" s="95">
        <v>15</v>
      </c>
      <c r="AG3" s="95"/>
      <c r="AH3" s="95"/>
    </row>
    <row r="4" spans="1:34" ht="15" x14ac:dyDescent="0.25">
      <c r="A4" s="43" t="s">
        <v>50</v>
      </c>
      <c r="B4" s="44">
        <v>-1.6021766339999999E-19</v>
      </c>
      <c r="D4" s="21" t="s">
        <v>58</v>
      </c>
      <c r="E4" s="21" t="s">
        <v>59</v>
      </c>
      <c r="F4" s="21" t="s">
        <v>60</v>
      </c>
      <c r="G4" s="26"/>
      <c r="H4" s="23" t="s">
        <v>46</v>
      </c>
      <c r="I4" s="33" t="s">
        <v>109</v>
      </c>
      <c r="J4" s="23" t="s">
        <v>88</v>
      </c>
      <c r="K4" s="29" t="s">
        <v>78</v>
      </c>
      <c r="L4" s="29" t="s">
        <v>47</v>
      </c>
      <c r="M4" s="23" t="s">
        <v>79</v>
      </c>
      <c r="N4" s="29" t="s">
        <v>78</v>
      </c>
      <c r="O4" s="29" t="s">
        <v>47</v>
      </c>
      <c r="P4" s="23" t="s">
        <v>79</v>
      </c>
      <c r="Q4" s="29" t="s">
        <v>78</v>
      </c>
      <c r="R4" s="29" t="s">
        <v>47</v>
      </c>
      <c r="S4" s="23" t="s">
        <v>79</v>
      </c>
      <c r="T4" s="29" t="s">
        <v>78</v>
      </c>
      <c r="U4" s="29" t="s">
        <v>47</v>
      </c>
      <c r="V4" s="23" t="s">
        <v>79</v>
      </c>
      <c r="W4" s="29" t="s">
        <v>78</v>
      </c>
      <c r="X4" s="29" t="s">
        <v>47</v>
      </c>
      <c r="Y4" s="23" t="s">
        <v>79</v>
      </c>
      <c r="Z4" s="29" t="s">
        <v>78</v>
      </c>
      <c r="AA4" s="29" t="s">
        <v>47</v>
      </c>
      <c r="AB4" s="23" t="s">
        <v>79</v>
      </c>
      <c r="AC4" s="29" t="s">
        <v>78</v>
      </c>
      <c r="AD4" s="29" t="s">
        <v>47</v>
      </c>
      <c r="AE4" s="23" t="s">
        <v>79</v>
      </c>
      <c r="AF4" s="29" t="s">
        <v>78</v>
      </c>
      <c r="AG4" s="29" t="s">
        <v>47</v>
      </c>
      <c r="AH4" s="23" t="s">
        <v>79</v>
      </c>
    </row>
    <row r="5" spans="1:34" ht="15" x14ac:dyDescent="0.25">
      <c r="A5" s="43" t="s">
        <v>51</v>
      </c>
      <c r="B5" s="44">
        <v>9.1093835599999998E-31</v>
      </c>
      <c r="D5" s="27">
        <v>1</v>
      </c>
      <c r="E5" s="28">
        <f>($B$7*$B$6/(ABS($B$4)*($B$28/1000)/(2*(1/$B$19*1000)^2*$D5)*(1+0.5*$B$32^2)))</f>
        <v>1933.0526504893642</v>
      </c>
      <c r="F5" s="28">
        <f>($B$7*$B$6/(ABS($B$4)*($B$28/1000)/(2*(1/$B$19*1000)^2*$D5)*(1+0)))</f>
        <v>3884.8669870862045</v>
      </c>
      <c r="H5" s="24">
        <f>B32</f>
        <v>1.4210599772605019</v>
      </c>
      <c r="I5" s="34">
        <f t="shared" ref="I5:I24" si="0">(($B$28/1000)/(2*$B$20^2)*(1+H5^2/2))</f>
        <v>6.4139068505733576E-10</v>
      </c>
      <c r="J5" s="35">
        <f>H5^2/(4*(1 + 0.5*H5^2))</f>
        <v>0.25120735704528901</v>
      </c>
      <c r="K5" s="30">
        <f>$B$7*$B$6*K$3/(ABS($B$4)*$I5)</f>
        <v>1933.0526504893642</v>
      </c>
      <c r="L5" s="31">
        <f>(143100000000000*INT($B$31)*ABS($B$10)*K$3*$H5^2/(1+0.5*$H5^2)*(BESSELJ(K$3*$J5,(K$3+1)/2) - BESSELJ(K$3*$J5,(K$3-1)/2))^2)</f>
        <v>1971241214591534.5</v>
      </c>
      <c r="M5" s="31">
        <f>L5/((4*PI()^2)*SQRT(($B$21/1000)^2+ (($I5/K$3)*$B$31*$B$28/1000)/(16*PI()^2)) * SQRT(($B$22/1000)^2+(($I5/K$3)*$B$31*$B$28/1000)/(16*PI()^2))*SQRT(($B$23/1000)^2+($I5/K$3)/($B$31*$B$28/1000))*SQRT(($B$24/1000)^2+($I5/K$3)/($B$31*$B$28/1000))*10^12 )</f>
        <v>1.4336079311392502E+21</v>
      </c>
      <c r="N5" s="30">
        <f>$B$7*$B$6*N$3/(ABS($B$4)*$I5)</f>
        <v>5799.1579514680925</v>
      </c>
      <c r="O5" s="31">
        <f>(143100000000000*INT($B$31)*ABS($B$10)*N$3*$H5^2/(1+0.5*$H5^2)*(BESSELJ(N$3*$J5,(N$3+1)/2) - BESSELJ(N$3*$J5,(N$3-1)/2))^2)</f>
        <v>640839651308203.63</v>
      </c>
      <c r="P5" s="31">
        <f>O5/((4*PI()^2)*SQRT(($B$21/1000)^2+ (($I5/N$3)*$B$31*$B$28/1000)/(16*PI()^2)) * SQRT(($B$22/1000)^2+(($I5/N$3)*$B$31*$B$28/1000)/(16*PI()^2))*SQRT(($B$23/1000)^2+($I5/N$3)/($B$31*$B$28/1000))*SQRT(($B$24/1000)^2+($I5/N$3)/($B$31*$B$28/1000))*10^12 )</f>
        <v>1.4310260105283046E+21</v>
      </c>
      <c r="Q5" s="30">
        <f>$B$7*$B$6*Q$3/(ABS($B$4)*$I5)</f>
        <v>9665.2632524468208</v>
      </c>
      <c r="R5" s="31">
        <f>(143100000000000*INT($B$31)*ABS($B$10)*Q$3*$H5^2/(1+0.5*$H5^2)*(BESSELJ(Q$3*$J5,(Q$3+1)/2) - BESSELJ(Q$3*$J5,(Q$3-1)/2))^2)</f>
        <v>243612934267289.09</v>
      </c>
      <c r="S5" s="31">
        <f>R5/((4*PI()^2)*SQRT(($B$21/1000)^2+ (($I5/Q$3)*$B$31*$B$28/1000)/(16*PI()^2)) * SQRT(($B$22/1000)^2+(($I5/Q$3)*$B$31*$B$28/1000)/(16*PI()^2))*SQRT(($B$23/1000)^2+($I5/Q$3)/($B$31*$B$28/1000))*SQRT(($B$24/1000)^2+($I5/Q$3)/($B$31*$B$28/1000))*10^12 )</f>
        <v>8.3217049678143344E+20</v>
      </c>
      <c r="T5" s="30">
        <f>$B$7*$B$6*T$3/(ABS($B$4)*$I5)</f>
        <v>13531.368553425549</v>
      </c>
      <c r="U5" s="31">
        <f>(143100000000000*INT($B$31)*ABS($B$10)*T$3*$H5^2/(1+0.5*$H5^2)*(BESSELJ(T$3*$J5,(T$3+1)/2) - BESSELJ(T$3*$J5,(T$3-1)/2))^2)</f>
        <v>96039444403042.359</v>
      </c>
      <c r="V5" s="31">
        <f>U5/((4*PI()^2)*SQRT(($B$21/1000)^2+ (($I5/T$3)*$B$31*$B$28/1000)/(16*PI()^2)) * SQRT(($B$22/1000)^2+(($I5/T$3)*$B$31*$B$28/1000)/(16*PI()^2))*SQRT(($B$23/1000)^2+($I5/T$3)/($B$31*$B$28/1000))*SQRT(($B$24/1000)^2+($I5/T$3)/($B$31*$B$28/1000))*10^12 )</f>
        <v>4.2148993731112206E+20</v>
      </c>
      <c r="W5" s="30">
        <f>$B$7*$B$6*W$3/(ABS($B$4)*$I5)</f>
        <v>17397.473854404278</v>
      </c>
      <c r="X5" s="31">
        <f>(143100000000000*INT($B$31)*ABS($B$10)*W$3*$H5^2/(1+0.5*$H5^2)*(BESSELJ(W$3*$J5,(W$3+1)/2) - BESSELJ(W$3*$J5,(W$3-1)/2))^2)</f>
        <v>38417377089717.102</v>
      </c>
      <c r="Y5" s="31">
        <f>X5/((4*PI()^2)*SQRT(($B$21/1000)^2+ (($I5/W$3)*$B$31*$B$28/1000)/(16*PI()^2)) * SQRT(($B$22/1000)^2+(($I5/W$3)*$B$31*$B$28/1000)/(16*PI()^2))*SQRT(($B$23/1000)^2+($I5/W$3)/($B$31*$B$28/1000))*SQRT(($B$24/1000)^2+($I5/W$3)/($B$31*$B$28/1000))*10^12 )</f>
        <v>2.0062669920360022E+20</v>
      </c>
      <c r="Z5" s="30">
        <f>$B$7*$B$6*Z$3/(ABS($B$4)*$I5)</f>
        <v>21263.579155383006</v>
      </c>
      <c r="AA5" s="31">
        <f>(143100000000000*INT($B$31)*ABS($B$10)*Z$3*$H5^2/(1+0.5*$H5^2)*(BESSELJ(Z$3*$J5,(Z$3+1)/2) - BESSELJ(Z$3*$J5,(Z$3-1)/2))^2)</f>
        <v>15481242538419.479</v>
      </c>
      <c r="AB5" s="31">
        <f>AA5/((4*PI()^2)*SQRT(($B$21/1000)^2+ (($I5/Z$3)*$B$31*$B$28/1000)/(16*PI()^2)) * SQRT(($B$22/1000)^2+(($I5/Z$3)*$B$31*$B$28/1000)/(16*PI()^2))*SQRT(($B$23/1000)^2+($I5/Z$3)/($B$31*$B$28/1000))*SQRT(($B$24/1000)^2+($I5/Z$3)/($B$31*$B$28/1000))*10^12 )</f>
        <v>9.2221682489416303E+19</v>
      </c>
      <c r="AC5" s="30">
        <f>$B$7*$B$6*AC$3/(ABS($B$4)*$I5)</f>
        <v>25129.684456361734</v>
      </c>
      <c r="AD5" s="31">
        <f>(143100000000000*INT($B$31)*ABS($B$10)*AC$3*$H5^2/(1+0.5*$H5^2)*(BESSELJ(AC$3*$J5,(AC$3+1)/2) - BESSELJ(AC$3*$J5,(AC$3-1)/2))^2)</f>
        <v>6265198935815.6084</v>
      </c>
      <c r="AE5" s="31">
        <f>AD5/((4*PI()^2)*SQRT(($B$21/1000)^2+ (($I5/AC$3)*$B$31*$B$28/1000)/(16*PI()^2)) * SQRT(($B$22/1000)^2+(($I5/AC$3)*$B$31*$B$28/1000)/(16*PI()^2))*SQRT(($B$23/1000)^2+($I5/AC$3)/($B$31*$B$28/1000))*SQRT(($B$24/1000)^2+($I5/AC$3)/($B$31*$B$28/1000))*10^12 )</f>
        <v>4.1459936651101241E+19</v>
      </c>
      <c r="AF5" s="30">
        <f>$B$7*$B$6*AF$3/(ABS($B$4)*$I5)</f>
        <v>28995.789757340463</v>
      </c>
      <c r="AG5" s="31">
        <f>(143100000000000*INT($B$31)*ABS($B$10)*AF$3*$H5^2/(1+0.5*$H5^2)*(BESSELJ(AF$3*$J5,(AF$3+1)/2) - BESSELJ(AF$3*$J5,(AF$3-1)/2))^2)</f>
        <v>2542341243446.5303</v>
      </c>
      <c r="AH5" s="31">
        <f>AG5/((4*PI()^2)*SQRT(($B$21/1000)^2+ (($I5/AF$3)*$B$31*$B$28/1000)/(16*PI()^2)) * SQRT(($B$22/1000)^2+(($I5/AF$3)*$B$31*$B$28/1000)/(16*PI()^2))*SQRT(($B$23/1000)^2+($I5/AF$3)/($B$31*$B$28/1000))*SQRT(($B$24/1000)^2+($I5/AF$3)/($B$31*$B$28/1000))*10^12 )</f>
        <v>1.8355571837701661E+19</v>
      </c>
    </row>
    <row r="6" spans="1:34" ht="15" x14ac:dyDescent="0.25">
      <c r="A6" s="43" t="s">
        <v>52</v>
      </c>
      <c r="B6" s="44">
        <v>299792458</v>
      </c>
      <c r="D6" s="27">
        <v>3</v>
      </c>
      <c r="E6" s="28">
        <f t="shared" ref="E6:E12" si="1">($B$7*$B$6/(ABS($B$4)*($B$28/1000)/(2*(1/$B$19*1000)^2*$D6)*(1+0.5*$B$32^2)))</f>
        <v>5799.1579514680925</v>
      </c>
      <c r="F6" s="28">
        <f t="shared" ref="F6:F12" si="2">($B$7*$B$6/(ABS($B$4)*($B$28/1000)/(2*(1/$B$19*1000)^2*$D6)*(1+0)))</f>
        <v>11654.600961258613</v>
      </c>
      <c r="H6" s="24">
        <f>-$H$5/20+H5</f>
        <v>1.3500069783974769</v>
      </c>
      <c r="I6" s="34">
        <f t="shared" si="0"/>
        <v>6.0997188358612534E-10</v>
      </c>
      <c r="J6" s="35">
        <f t="shared" ref="J6:J24" si="3">H6^2/(4*(1 + 0.5*H6^2))</f>
        <v>0.23839239480385618</v>
      </c>
      <c r="K6" s="30">
        <f t="shared" ref="K6:K24" si="4">$B$7*$B$6*K$3/(ABS($B$4)*$I6)</f>
        <v>2032.6214979943607</v>
      </c>
      <c r="L6" s="31">
        <f t="shared" ref="L6:L24" si="5">(143100000000000*INT($B$31)*ABS($B$10)*K$3*$H6^2/(1+0.5*$H6^2)*(BESSELJ(K$3*$J6,(K$3+1)/2) - BESSELJ(K$3*$J6,(K$3-1)/2))^2)</f>
        <v>1904873320156350.8</v>
      </c>
      <c r="M6" s="31">
        <f t="shared" ref="M6:M24" si="6">L6/((4*PI()^2)*SQRT(($B$21/1000)^2+ (($I6/K$3)*$B$31*$B$28/1000)/(16*PI()^2)) * SQRT(($B$22/1000)^2+(($I6/K$3)*$B$31*$B$28/1000)/(16*PI()^2))*SQRT(($B$23/1000)^2+($I6/K$3)/($B$31*$B$28/1000))*SQRT(($B$24/1000)^2+($I6/K$3)/($B$31*$B$28/1000))*10^12 )</f>
        <v>1.46740653935258E+21</v>
      </c>
      <c r="N6" s="30">
        <f t="shared" ref="N6:N24" si="7">$B$7*$B$6*N$3/(ABS($B$4)*$I6)</f>
        <v>6097.864493983082</v>
      </c>
      <c r="O6" s="31">
        <f t="shared" ref="O6:O24" si="8">(143100000000000*INT($B$31)*ABS($B$10)*N$3*$H6^2/(1+0.5*$H6^2)*(BESSELJ(N$3*$J6,(N$3+1)/2) - BESSELJ(N$3*$J6,(N$3-1)/2))^2)</f>
        <v>569924086337514.75</v>
      </c>
      <c r="P6" s="31">
        <f t="shared" ref="P6:P24" si="9">O6/((4*PI()^2)*SQRT(($B$21/1000)^2+ (($I6/N$3)*$B$31*$B$28/1000)/(16*PI()^2)) * SQRT(($B$22/1000)^2+(($I6/N$3)*$B$31*$B$28/1000)/(16*PI()^2))*SQRT(($B$23/1000)^2+($I6/N$3)/($B$31*$B$28/1000))*SQRT(($B$24/1000)^2+($I6/N$3)/($B$31*$B$28/1000))*10^12 )</f>
        <v>1.3304213713405419E+21</v>
      </c>
      <c r="Q6" s="30">
        <f t="shared" ref="Q6:Q24" si="10">$B$7*$B$6*Q$3/(ABS($B$4)*$I6)</f>
        <v>10163.107489971804</v>
      </c>
      <c r="R6" s="31">
        <f t="shared" ref="R6:R24" si="11">(143100000000000*INT($B$31)*ABS($B$10)*Q$3*$H6^2/(1+0.5*$H6^2)*(BESSELJ(Q$3*$J6,(Q$3+1)/2) - BESSELJ(Q$3*$J6,(Q$3-1)/2))^2)</f>
        <v>198463146022088.72</v>
      </c>
      <c r="S6" s="31">
        <f t="shared" ref="S6:S24" si="12">R6/((4*PI()^2)*SQRT(($B$21/1000)^2+ (($I6/Q$3)*$B$31*$B$28/1000)/(16*PI()^2)) * SQRT(($B$22/1000)^2+(($I6/Q$3)*$B$31*$B$28/1000)/(16*PI()^2))*SQRT(($B$23/1000)^2+($I6/Q$3)/($B$31*$B$28/1000))*SQRT(($B$24/1000)^2+($I6/Q$3)/($B$31*$B$28/1000))*10^12 )</f>
        <v>7.0475793460009343E+20</v>
      </c>
      <c r="T6" s="30">
        <f t="shared" ref="T6:T24" si="13">$B$7*$B$6*T$3/(ABS($B$4)*$I6)</f>
        <v>14228.350485960525</v>
      </c>
      <c r="U6" s="31">
        <f t="shared" ref="U6:U24" si="14">(143100000000000*INT($B$31)*ABS($B$10)*T$3*$H6^2/(1+0.5*$H6^2)*(BESSELJ(T$3*$J6,(T$3+1)/2) - BESSELJ(T$3*$J6,(T$3-1)/2))^2)</f>
        <v>71561133877691.563</v>
      </c>
      <c r="V6" s="31">
        <f t="shared" ref="V6:V24" si="15">U6/((4*PI()^2)*SQRT(($B$21/1000)^2+ (($I6/T$3)*$B$31*$B$28/1000)/(16*PI()^2)) * SQRT(($B$22/1000)^2+(($I6/T$3)*$B$31*$B$28/1000)/(16*PI()^2))*SQRT(($B$23/1000)^2+($I6/T$3)/($B$31*$B$28/1000))*SQRT(($B$24/1000)^2+($I6/T$3)/($B$31*$B$28/1000))*10^12 )</f>
        <v>3.254469802471209E+20</v>
      </c>
      <c r="W6" s="30">
        <f t="shared" ref="W6:W24" si="16">$B$7*$B$6*W$3/(ABS($B$4)*$I6)</f>
        <v>18293.593481949247</v>
      </c>
      <c r="X6" s="31">
        <f t="shared" ref="X6:X24" si="17">(143100000000000*INT($B$31)*ABS($B$10)*W$3*$H6^2/(1+0.5*$H6^2)*(BESSELJ(W$3*$J6,(W$3+1)/2) - BESSELJ(W$3*$J6,(W$3-1)/2))^2)</f>
        <v>26163366417501.352</v>
      </c>
      <c r="Y6" s="31">
        <f t="shared" ref="Y6:Y24" si="18">X6/((4*PI()^2)*SQRT(($B$21/1000)^2+ (($I6/W$3)*$B$31*$B$28/1000)/(16*PI()^2)) * SQRT(($B$22/1000)^2+(($I6/W$3)*$B$31*$B$28/1000)/(16*PI()^2))*SQRT(($B$23/1000)^2+($I6/W$3)/($B$31*$B$28/1000))*SQRT(($B$24/1000)^2+($I6/W$3)/($B$31*$B$28/1000))*10^12 )</f>
        <v>1.4129011461417216E+20</v>
      </c>
      <c r="Z6" s="30">
        <f t="shared" ref="Z6:Z24" si="19">$B$7*$B$6*Z$3/(ABS($B$4)*$I6)</f>
        <v>22358.836477937966</v>
      </c>
      <c r="AA6" s="31">
        <f t="shared" ref="AA6:AA24" si="20">(143100000000000*INT($B$31)*ABS($B$10)*Z$3*$H6^2/(1+0.5*$H6^2)*(BESSELJ(Z$3*$J6,(Z$3+1)/2) - BESSELJ(Z$3*$J6,(Z$3-1)/2))^2)</f>
        <v>9632482794797.8184</v>
      </c>
      <c r="AB6" s="31">
        <f t="shared" ref="AB6:AB24" si="21">AA6/((4*PI()^2)*SQRT(($B$21/1000)^2+ (($I6/Z$3)*$B$31*$B$28/1000)/(16*PI()^2)) * SQRT(($B$22/1000)^2+(($I6/Z$3)*$B$31*$B$28/1000)/(16*PI()^2))*SQRT(($B$23/1000)^2+($I6/Z$3)/($B$31*$B$28/1000))*SQRT(($B$24/1000)^2+($I6/Z$3)/($B$31*$B$28/1000))*10^12 )</f>
        <v>5.9247719480040161E+19</v>
      </c>
      <c r="AC6" s="30">
        <f t="shared" ref="AC6:AC24" si="22">$B$7*$B$6*AC$3/(ABS($B$4)*$I6)</f>
        <v>26424.079473926686</v>
      </c>
      <c r="AD6" s="31">
        <f t="shared" ref="AD6:AD24" si="23">(143100000000000*INT($B$31)*ABS($B$10)*AC$3*$H6^2/(1+0.5*$H6^2)*(BESSELJ(AC$3*$J6,(AC$3+1)/2) - BESSELJ(AC$3*$J6,(AC$3-1)/2))^2)</f>
        <v>3560638289693.9561</v>
      </c>
      <c r="AE6" s="31">
        <f t="shared" ref="AE6:AE24" si="24">AD6/((4*PI()^2)*SQRT(($B$21/1000)^2+ (($I6/AC$3)*$B$31*$B$28/1000)/(16*PI()^2)) * SQRT(($B$22/1000)^2+(($I6/AC$3)*$B$31*$B$28/1000)/(16*PI()^2))*SQRT(($B$23/1000)^2+($I6/AC$3)/($B$31*$B$28/1000))*SQRT(($B$24/1000)^2+($I6/AC$3)/($B$31*$B$28/1000))*10^12 )</f>
        <v>2.4301472205378433E+19</v>
      </c>
      <c r="AF6" s="30">
        <f t="shared" ref="AF6:AF24" si="25">$B$7*$B$6*AF$3/(ABS($B$4)*$I6)</f>
        <v>30489.322469915413</v>
      </c>
      <c r="AG6" s="31">
        <f t="shared" ref="AG6:AG24" si="26">(143100000000000*INT($B$31)*ABS($B$10)*AF$3*$H6^2/(1+0.5*$H6^2)*(BESSELJ(AF$3*$J6,(AF$3+1)/2) - BESSELJ(AF$3*$J6,(AF$3-1)/2))^2)</f>
        <v>1319523687029.4817</v>
      </c>
      <c r="AH6" s="31">
        <f t="shared" ref="AH6:AH24" si="27">AG6/((4*PI()^2)*SQRT(($B$21/1000)^2+ (($I6/AF$3)*$B$31*$B$28/1000)/(16*PI()^2)) * SQRT(($B$22/1000)^2+(($I6/AF$3)*$B$31*$B$28/1000)/(16*PI()^2))*SQRT(($B$23/1000)^2+($I6/AF$3)/($B$31*$B$28/1000))*SQRT(($B$24/1000)^2+($I6/AF$3)/($B$31*$B$28/1000))*10^12 )</f>
        <v>9.8167709422946693E+18</v>
      </c>
    </row>
    <row r="7" spans="1:34" ht="15" x14ac:dyDescent="0.25">
      <c r="A7" s="43" t="s">
        <v>53</v>
      </c>
      <c r="B7" s="44">
        <v>6.6260700399999999E-34</v>
      </c>
      <c r="D7" s="27">
        <v>5</v>
      </c>
      <c r="E7" s="28">
        <f t="shared" si="1"/>
        <v>9665.2632524468208</v>
      </c>
      <c r="F7" s="28">
        <f t="shared" si="2"/>
        <v>19424.334935431019</v>
      </c>
      <c r="H7" s="24">
        <f t="shared" ref="H7:H24" si="28">-$H$5/20+H6</f>
        <v>1.2789539795344518</v>
      </c>
      <c r="I7" s="34">
        <f t="shared" si="0"/>
        <v>5.80164302703182E-10</v>
      </c>
      <c r="J7" s="35">
        <f t="shared" si="3"/>
        <v>0.2249515646542862</v>
      </c>
      <c r="K7" s="30">
        <f t="shared" si="4"/>
        <v>2137.0531726485551</v>
      </c>
      <c r="L7" s="31">
        <f t="shared" si="5"/>
        <v>1831332508009074</v>
      </c>
      <c r="M7" s="31">
        <f t="shared" si="6"/>
        <v>1.4932542252745378E+21</v>
      </c>
      <c r="N7" s="30">
        <f t="shared" si="7"/>
        <v>6411.1595179456654</v>
      </c>
      <c r="O7" s="31">
        <f t="shared" si="8"/>
        <v>498585393989083.25</v>
      </c>
      <c r="P7" s="31">
        <f t="shared" si="9"/>
        <v>1.2158672467835609E+21</v>
      </c>
      <c r="Q7" s="30">
        <f t="shared" si="10"/>
        <v>10685.265863242776</v>
      </c>
      <c r="R7" s="31">
        <f t="shared" si="11"/>
        <v>157218855920369.91</v>
      </c>
      <c r="S7" s="31">
        <f t="shared" si="12"/>
        <v>5.8003430622379809E+20</v>
      </c>
      <c r="T7" s="30">
        <f t="shared" si="13"/>
        <v>14959.372208539888</v>
      </c>
      <c r="U7" s="31">
        <f t="shared" si="14"/>
        <v>51253892193394.516</v>
      </c>
      <c r="V7" s="31">
        <f t="shared" si="15"/>
        <v>2.4141691899901677E+20</v>
      </c>
      <c r="W7" s="30">
        <f t="shared" si="16"/>
        <v>19233.478553836998</v>
      </c>
      <c r="X7" s="31">
        <f t="shared" si="17"/>
        <v>16929985128650.855</v>
      </c>
      <c r="Y7" s="31">
        <f t="shared" si="18"/>
        <v>9.4499060802733834E+19</v>
      </c>
      <c r="Z7" s="30">
        <f t="shared" si="19"/>
        <v>23507.584899134108</v>
      </c>
      <c r="AA7" s="31">
        <f t="shared" si="20"/>
        <v>5629156958705.2695</v>
      </c>
      <c r="AB7" s="31">
        <f t="shared" si="21"/>
        <v>3.5735172774834078E+19</v>
      </c>
      <c r="AC7" s="30">
        <f t="shared" si="22"/>
        <v>27781.691244431215</v>
      </c>
      <c r="AD7" s="31">
        <f t="shared" si="23"/>
        <v>1878756010370.855</v>
      </c>
      <c r="AE7" s="31">
        <f t="shared" si="24"/>
        <v>1.3219413270141211E+19</v>
      </c>
      <c r="AF7" s="30">
        <f t="shared" si="25"/>
        <v>32055.797589728329</v>
      </c>
      <c r="AG7" s="31">
        <f t="shared" si="26"/>
        <v>628533037355.38782</v>
      </c>
      <c r="AH7" s="31">
        <f t="shared" si="27"/>
        <v>4.81651840284194E+18</v>
      </c>
    </row>
    <row r="8" spans="1:34" ht="15" x14ac:dyDescent="0.25">
      <c r="A8" s="11"/>
      <c r="B8" s="13"/>
      <c r="D8" s="27">
        <v>7</v>
      </c>
      <c r="E8" s="28">
        <f t="shared" si="1"/>
        <v>13531.368553425549</v>
      </c>
      <c r="F8" s="28">
        <f t="shared" si="2"/>
        <v>27194.068909603429</v>
      </c>
      <c r="H8" s="24">
        <f t="shared" si="28"/>
        <v>1.2079009806714267</v>
      </c>
      <c r="I8" s="34">
        <f t="shared" si="0"/>
        <v>5.5196794240850586E-10</v>
      </c>
      <c r="J8" s="35">
        <f t="shared" si="3"/>
        <v>0.21090117479350151</v>
      </c>
      <c r="K8" s="30">
        <f t="shared" si="4"/>
        <v>2246.2209641002619</v>
      </c>
      <c r="L8" s="31">
        <f t="shared" si="5"/>
        <v>1750136587599234.5</v>
      </c>
      <c r="M8" s="31">
        <f t="shared" si="6"/>
        <v>1.5091516808167686E+21</v>
      </c>
      <c r="N8" s="30">
        <f t="shared" si="7"/>
        <v>6738.6628923007847</v>
      </c>
      <c r="O8" s="31">
        <f t="shared" si="8"/>
        <v>427955078636090.19</v>
      </c>
      <c r="P8" s="31">
        <f t="shared" si="9"/>
        <v>1.0893469178864568E+21</v>
      </c>
      <c r="Q8" s="30">
        <f t="shared" si="10"/>
        <v>11231.104820501308</v>
      </c>
      <c r="R8" s="31">
        <f t="shared" si="11"/>
        <v>120590654480579.8</v>
      </c>
      <c r="S8" s="31">
        <f t="shared" si="12"/>
        <v>4.6189953920968321E+20</v>
      </c>
      <c r="T8" s="30">
        <f t="shared" si="13"/>
        <v>15723.546748701834</v>
      </c>
      <c r="U8" s="31">
        <f t="shared" si="14"/>
        <v>35075034671233.973</v>
      </c>
      <c r="V8" s="31">
        <f t="shared" si="15"/>
        <v>1.7100478342433666E+20</v>
      </c>
      <c r="W8" s="30">
        <f t="shared" si="16"/>
        <v>20215.988676902358</v>
      </c>
      <c r="X8" s="31">
        <f t="shared" si="17"/>
        <v>10329467949809.484</v>
      </c>
      <c r="Y8" s="31">
        <f t="shared" si="18"/>
        <v>5.9560545572206518E+19</v>
      </c>
      <c r="Z8" s="30">
        <f t="shared" si="19"/>
        <v>24708.43060510288</v>
      </c>
      <c r="AA8" s="31">
        <f t="shared" si="20"/>
        <v>3060871237833.5967</v>
      </c>
      <c r="AB8" s="31">
        <f t="shared" si="21"/>
        <v>2.0044375764327768E+19</v>
      </c>
      <c r="AC8" s="30">
        <f t="shared" si="22"/>
        <v>29200.872533303402</v>
      </c>
      <c r="AD8" s="31">
        <f t="shared" si="23"/>
        <v>910226016873.07715</v>
      </c>
      <c r="AE8" s="31">
        <f t="shared" si="24"/>
        <v>6.5996068238574889E+18</v>
      </c>
      <c r="AF8" s="30">
        <f t="shared" si="25"/>
        <v>33693.314461503927</v>
      </c>
      <c r="AG8" s="31">
        <f t="shared" si="26"/>
        <v>271279233502.06927</v>
      </c>
      <c r="AH8" s="31">
        <f t="shared" si="27"/>
        <v>2.1403072369433951E+18</v>
      </c>
    </row>
    <row r="9" spans="1:34" ht="15" x14ac:dyDescent="0.25">
      <c r="A9" s="43" t="s">
        <v>61</v>
      </c>
      <c r="B9" s="45">
        <v>3</v>
      </c>
      <c r="D9" s="27">
        <v>9</v>
      </c>
      <c r="E9" s="28">
        <f t="shared" si="1"/>
        <v>17397.473854404278</v>
      </c>
      <c r="F9" s="28">
        <f t="shared" si="2"/>
        <v>34963.802883775839</v>
      </c>
      <c r="H9" s="24">
        <f t="shared" si="28"/>
        <v>1.1368479818084016</v>
      </c>
      <c r="I9" s="34">
        <f t="shared" si="0"/>
        <v>5.25382802702097E-10</v>
      </c>
      <c r="J9" s="35">
        <f t="shared" si="3"/>
        <v>0.19627235059608783</v>
      </c>
      <c r="K9" s="30">
        <f t="shared" si="4"/>
        <v>2359.8830364691021</v>
      </c>
      <c r="L9" s="31">
        <f t="shared" si="5"/>
        <v>1660890713660853</v>
      </c>
      <c r="M9" s="31">
        <f t="shared" si="6"/>
        <v>1.5129509463157724E+21</v>
      </c>
      <c r="N9" s="30">
        <f t="shared" si="7"/>
        <v>7079.6491094073053</v>
      </c>
      <c r="O9" s="31">
        <f t="shared" si="8"/>
        <v>359318006979988.63</v>
      </c>
      <c r="P9" s="31">
        <f t="shared" si="9"/>
        <v>9.5379919045612129E+20</v>
      </c>
      <c r="Q9" s="30">
        <f t="shared" si="10"/>
        <v>11799.41518234551</v>
      </c>
      <c r="R9" s="31">
        <f t="shared" si="11"/>
        <v>89109919935584.859</v>
      </c>
      <c r="S9" s="31">
        <f t="shared" si="12"/>
        <v>3.5407151928747262E+20</v>
      </c>
      <c r="T9" s="30">
        <f t="shared" si="13"/>
        <v>16519.181255283715</v>
      </c>
      <c r="U9" s="31">
        <f t="shared" si="14"/>
        <v>22774363338796.027</v>
      </c>
      <c r="V9" s="31">
        <f t="shared" si="15"/>
        <v>1.1484490249013905E+20</v>
      </c>
      <c r="W9" s="30">
        <f t="shared" si="16"/>
        <v>21238.947328221919</v>
      </c>
      <c r="X9" s="31">
        <f t="shared" si="17"/>
        <v>5889121845270.8105</v>
      </c>
      <c r="Y9" s="31">
        <f t="shared" si="18"/>
        <v>3.505540685216514E+19</v>
      </c>
      <c r="Z9" s="30">
        <f t="shared" si="19"/>
        <v>25958.713401160123</v>
      </c>
      <c r="AA9" s="31">
        <f t="shared" si="20"/>
        <v>1531702339506.5461</v>
      </c>
      <c r="AB9" s="31">
        <f t="shared" si="21"/>
        <v>1.0340726168256696E+19</v>
      </c>
      <c r="AC9" s="30">
        <f t="shared" si="22"/>
        <v>30678.479474098323</v>
      </c>
      <c r="AD9" s="31">
        <f t="shared" si="23"/>
        <v>399699956035.98828</v>
      </c>
      <c r="AE9" s="31">
        <f t="shared" si="24"/>
        <v>2.9845534058921411E+18</v>
      </c>
      <c r="AF9" s="30">
        <f t="shared" si="25"/>
        <v>35398.245547036531</v>
      </c>
      <c r="AG9" s="31">
        <f t="shared" si="26"/>
        <v>104517984626.3847</v>
      </c>
      <c r="AH9" s="31">
        <f t="shared" si="27"/>
        <v>8.4852784446002624E+17</v>
      </c>
    </row>
    <row r="10" spans="1:34" ht="15" x14ac:dyDescent="0.25">
      <c r="A10" s="43" t="s">
        <v>62</v>
      </c>
      <c r="B10" s="45">
        <v>0.35</v>
      </c>
      <c r="D10" s="27">
        <v>11</v>
      </c>
      <c r="E10" s="28">
        <f t="shared" si="1"/>
        <v>21263.579155383006</v>
      </c>
      <c r="F10" s="28">
        <f t="shared" si="2"/>
        <v>42733.536857948246</v>
      </c>
      <c r="H10" s="24">
        <f t="shared" si="28"/>
        <v>1.0657949829453766</v>
      </c>
      <c r="I10" s="34">
        <f t="shared" si="0"/>
        <v>5.0040888358395533E-10</v>
      </c>
      <c r="J10" s="35">
        <f t="shared" si="3"/>
        <v>0.18111420692799288</v>
      </c>
      <c r="K10" s="30">
        <f t="shared" si="4"/>
        <v>2477.6577803124856</v>
      </c>
      <c r="L10" s="31">
        <f t="shared" si="5"/>
        <v>1563337259543361</v>
      </c>
      <c r="M10" s="31">
        <f t="shared" si="6"/>
        <v>1.5024371321159258E+21</v>
      </c>
      <c r="N10" s="30">
        <f t="shared" si="7"/>
        <v>7432.9733409374567</v>
      </c>
      <c r="O10" s="31">
        <f t="shared" si="8"/>
        <v>294057299578266.63</v>
      </c>
      <c r="P10" s="31">
        <f t="shared" si="9"/>
        <v>8.1310113664717632E+20</v>
      </c>
      <c r="Q10" s="30">
        <f t="shared" si="10"/>
        <v>12388.28890156243</v>
      </c>
      <c r="R10" s="31">
        <f t="shared" si="11"/>
        <v>63062903387686.781</v>
      </c>
      <c r="S10" s="31">
        <f t="shared" si="12"/>
        <v>2.5969380933760244E+20</v>
      </c>
      <c r="T10" s="30">
        <f t="shared" si="13"/>
        <v>17343.604462187403</v>
      </c>
      <c r="U10" s="31">
        <f t="shared" si="14"/>
        <v>13915185396324.717</v>
      </c>
      <c r="V10" s="31">
        <f t="shared" si="15"/>
        <v>7.2517955952675152E+19</v>
      </c>
      <c r="W10" s="30">
        <f t="shared" si="16"/>
        <v>22298.920022812374</v>
      </c>
      <c r="X10" s="31">
        <f t="shared" si="17"/>
        <v>3104410699612.3569</v>
      </c>
      <c r="Y10" s="31">
        <f t="shared" si="18"/>
        <v>1.9062222089764213E+19</v>
      </c>
      <c r="Z10" s="30">
        <f t="shared" si="19"/>
        <v>27254.235583437341</v>
      </c>
      <c r="AA10" s="31">
        <f t="shared" si="20"/>
        <v>696344187534.53235</v>
      </c>
      <c r="AB10" s="31">
        <f t="shared" si="21"/>
        <v>4.8430369076263414E+18</v>
      </c>
      <c r="AC10" s="30">
        <f t="shared" si="22"/>
        <v>32209.551144062312</v>
      </c>
      <c r="AD10" s="31">
        <f t="shared" si="23"/>
        <v>156677201925.63156</v>
      </c>
      <c r="AE10" s="31">
        <f t="shared" si="24"/>
        <v>1.204014597253641E+18</v>
      </c>
      <c r="AF10" s="30">
        <f t="shared" si="25"/>
        <v>37164.866704687287</v>
      </c>
      <c r="AG10" s="31">
        <f t="shared" si="26"/>
        <v>35320010716.337563</v>
      </c>
      <c r="AH10" s="31">
        <f t="shared" si="27"/>
        <v>2.948683237855984E+17</v>
      </c>
    </row>
    <row r="11" spans="1:34" ht="15" x14ac:dyDescent="0.25">
      <c r="A11" s="43" t="s">
        <v>63</v>
      </c>
      <c r="B11" s="45">
        <v>518.38599999999997</v>
      </c>
      <c r="D11" s="27">
        <v>13</v>
      </c>
      <c r="E11" s="28">
        <f t="shared" si="1"/>
        <v>25129.684456361731</v>
      </c>
      <c r="F11" s="28">
        <f t="shared" si="2"/>
        <v>50503.270832120652</v>
      </c>
      <c r="H11" s="24">
        <f t="shared" si="28"/>
        <v>0.99474198408235148</v>
      </c>
      <c r="I11" s="34">
        <f t="shared" si="0"/>
        <v>4.7704618505408085E-10</v>
      </c>
      <c r="J11" s="35">
        <f t="shared" si="3"/>
        <v>0.16549720194522236</v>
      </c>
      <c r="K11" s="30">
        <f t="shared" si="4"/>
        <v>2598.9977545019374</v>
      </c>
      <c r="L11" s="31">
        <f t="shared" si="5"/>
        <v>1457416521517658.8</v>
      </c>
      <c r="M11" s="31">
        <f t="shared" si="6"/>
        <v>1.4754516555844296E+21</v>
      </c>
      <c r="N11" s="30">
        <f t="shared" si="7"/>
        <v>7796.9932635058121</v>
      </c>
      <c r="O11" s="31">
        <f t="shared" si="8"/>
        <v>233570457912492.44</v>
      </c>
      <c r="P11" s="31">
        <f t="shared" si="9"/>
        <v>6.7192459675380207E+20</v>
      </c>
      <c r="Q11" s="30">
        <f t="shared" si="10"/>
        <v>12994.988772509689</v>
      </c>
      <c r="R11" s="31">
        <f t="shared" si="11"/>
        <v>42443880338767.617</v>
      </c>
      <c r="S11" s="31">
        <f t="shared" si="12"/>
        <v>1.8094946454674244E+20</v>
      </c>
      <c r="T11" s="30">
        <f t="shared" si="13"/>
        <v>18192.984281513563</v>
      </c>
      <c r="U11" s="31">
        <f t="shared" si="14"/>
        <v>7922913817508.7354</v>
      </c>
      <c r="V11" s="31">
        <f t="shared" si="15"/>
        <v>4.2629773262283932E+19</v>
      </c>
      <c r="W11" s="30">
        <f t="shared" si="16"/>
        <v>23390.979790517438</v>
      </c>
      <c r="X11" s="31">
        <f t="shared" si="17"/>
        <v>1494255451886.4402</v>
      </c>
      <c r="Y11" s="31">
        <f t="shared" si="18"/>
        <v>9.4563260227688837E+18</v>
      </c>
      <c r="Z11" s="30">
        <f t="shared" si="19"/>
        <v>28588.975299521313</v>
      </c>
      <c r="AA11" s="31">
        <f t="shared" si="20"/>
        <v>283242208088.42511</v>
      </c>
      <c r="AB11" s="31">
        <f t="shared" si="21"/>
        <v>2.0277098093719713E+18</v>
      </c>
      <c r="AC11" s="30">
        <f t="shared" si="22"/>
        <v>33786.970808525184</v>
      </c>
      <c r="AD11" s="31">
        <f t="shared" si="23"/>
        <v>53843352528.49411</v>
      </c>
      <c r="AE11" s="31">
        <f t="shared" si="24"/>
        <v>4.2549360154236032E+17</v>
      </c>
      <c r="AF11" s="30">
        <f t="shared" si="25"/>
        <v>38984.966317529063</v>
      </c>
      <c r="AG11" s="31">
        <f t="shared" si="26"/>
        <v>10253625421.709265</v>
      </c>
      <c r="AH11" s="31">
        <f t="shared" si="27"/>
        <v>8.7959883926709632E+16</v>
      </c>
    </row>
    <row r="12" spans="1:34" ht="15" x14ac:dyDescent="0.25">
      <c r="A12" s="43" t="s">
        <v>64</v>
      </c>
      <c r="B12" s="45">
        <v>864</v>
      </c>
      <c r="D12" s="27">
        <v>15</v>
      </c>
      <c r="E12" s="28">
        <f t="shared" si="1"/>
        <v>28995.789757340463</v>
      </c>
      <c r="F12" s="28">
        <f t="shared" si="2"/>
        <v>58273.004806293058</v>
      </c>
      <c r="H12" s="24">
        <f t="shared" si="28"/>
        <v>0.92368898521932641</v>
      </c>
      <c r="I12" s="34">
        <f t="shared" si="0"/>
        <v>4.552947071124735E-10</v>
      </c>
      <c r="J12" s="35">
        <f t="shared" si="3"/>
        <v>0.14951649731669919</v>
      </c>
      <c r="K12" s="30">
        <f t="shared" si="4"/>
        <v>2723.1635781853884</v>
      </c>
      <c r="L12" s="31">
        <f t="shared" si="5"/>
        <v>1343337273445074</v>
      </c>
      <c r="M12" s="31">
        <f t="shared" si="6"/>
        <v>1.4300628433193741E+21</v>
      </c>
      <c r="N12" s="30">
        <f t="shared" si="7"/>
        <v>8169.4907345561651</v>
      </c>
      <c r="O12" s="31">
        <f t="shared" si="8"/>
        <v>179158465696643.84</v>
      </c>
      <c r="P12" s="31">
        <f t="shared" si="9"/>
        <v>5.3543974246881958E+20</v>
      </c>
      <c r="Q12" s="30">
        <f t="shared" si="10"/>
        <v>13615.817890926943</v>
      </c>
      <c r="R12" s="31">
        <f t="shared" si="11"/>
        <v>26941115072848.211</v>
      </c>
      <c r="S12" s="31">
        <f t="shared" si="12"/>
        <v>1.187625031974653E+20</v>
      </c>
      <c r="T12" s="30">
        <f t="shared" si="13"/>
        <v>19062.145047297719</v>
      </c>
      <c r="U12" s="31">
        <f t="shared" si="14"/>
        <v>4154992424719.4995</v>
      </c>
      <c r="V12" s="31">
        <f t="shared" si="15"/>
        <v>2.3056317087698661E+19</v>
      </c>
      <c r="W12" s="30">
        <f t="shared" si="16"/>
        <v>24508.472203668498</v>
      </c>
      <c r="X12" s="31">
        <f t="shared" si="17"/>
        <v>646986852950.41406</v>
      </c>
      <c r="Y12" s="31">
        <f t="shared" si="18"/>
        <v>4.2155267786762911E+18</v>
      </c>
      <c r="Z12" s="30">
        <f t="shared" si="19"/>
        <v>29954.799360039273</v>
      </c>
      <c r="AA12" s="31">
        <f t="shared" si="20"/>
        <v>101217768742.80086</v>
      </c>
      <c r="AB12" s="31">
        <f t="shared" si="21"/>
        <v>7.4514258435856576E+17</v>
      </c>
      <c r="AC12" s="30">
        <f t="shared" si="22"/>
        <v>35401.126516410048</v>
      </c>
      <c r="AD12" s="31">
        <f t="shared" si="23"/>
        <v>15876915211.502783</v>
      </c>
      <c r="AE12" s="31">
        <f t="shared" si="24"/>
        <v>1.2890256727751085E+17</v>
      </c>
      <c r="AF12" s="30">
        <f t="shared" si="25"/>
        <v>40847.453672780823</v>
      </c>
      <c r="AG12" s="31">
        <f t="shared" si="26"/>
        <v>2494520615.7718</v>
      </c>
      <c r="AH12" s="31">
        <f t="shared" si="27"/>
        <v>2.19688884266197E+16</v>
      </c>
    </row>
    <row r="13" spans="1:34" ht="15.75" x14ac:dyDescent="0.25">
      <c r="A13" s="43" t="s">
        <v>65</v>
      </c>
      <c r="B13" s="46">
        <v>11.6</v>
      </c>
      <c r="H13" s="24">
        <f t="shared" si="28"/>
        <v>0.85263598635630133</v>
      </c>
      <c r="I13" s="34">
        <f t="shared" si="0"/>
        <v>4.3515444975913345E-10</v>
      </c>
      <c r="J13" s="35">
        <f t="shared" si="3"/>
        <v>0.13329506617644787</v>
      </c>
      <c r="K13" s="30">
        <f t="shared" si="4"/>
        <v>2849.1997828254971</v>
      </c>
      <c r="L13" s="31">
        <f t="shared" si="5"/>
        <v>1221654313647202.3</v>
      </c>
      <c r="M13" s="31">
        <f t="shared" si="6"/>
        <v>1.3647854310891955E+21</v>
      </c>
      <c r="N13" s="30">
        <f t="shared" si="7"/>
        <v>8547.5993484764913</v>
      </c>
      <c r="O13" s="31">
        <f t="shared" si="8"/>
        <v>131896312588575.91</v>
      </c>
      <c r="P13" s="31">
        <f t="shared" si="9"/>
        <v>4.088623611412309E+20</v>
      </c>
      <c r="Q13" s="30">
        <f t="shared" si="10"/>
        <v>14245.998914127487</v>
      </c>
      <c r="R13" s="31">
        <f t="shared" si="11"/>
        <v>15965708694321.674</v>
      </c>
      <c r="S13" s="31">
        <f t="shared" si="12"/>
        <v>7.2672568344679514E+19</v>
      </c>
      <c r="T13" s="30">
        <f t="shared" si="13"/>
        <v>19944.398479778483</v>
      </c>
      <c r="U13" s="31">
        <f t="shared" si="14"/>
        <v>1978941332322.3369</v>
      </c>
      <c r="V13" s="31">
        <f t="shared" si="15"/>
        <v>1.1310946101672673E+19</v>
      </c>
      <c r="W13" s="30">
        <f t="shared" si="16"/>
        <v>25642.798045429477</v>
      </c>
      <c r="X13" s="31">
        <f t="shared" si="17"/>
        <v>247489051918.53464</v>
      </c>
      <c r="Y13" s="31">
        <f t="shared" si="18"/>
        <v>1.6583037258583081E+18</v>
      </c>
      <c r="Z13" s="30">
        <f t="shared" si="19"/>
        <v>31341.197611080468</v>
      </c>
      <c r="AA13" s="31">
        <f t="shared" si="20"/>
        <v>31085874379.518738</v>
      </c>
      <c r="AB13" s="31">
        <f t="shared" si="21"/>
        <v>2.3507172666460237E+17</v>
      </c>
      <c r="AC13" s="30">
        <f t="shared" si="22"/>
        <v>37039.597176731462</v>
      </c>
      <c r="AD13" s="31">
        <f t="shared" si="23"/>
        <v>3914072135.0913267</v>
      </c>
      <c r="AE13" s="31">
        <f t="shared" si="24"/>
        <v>3.2613599044271104E+16</v>
      </c>
      <c r="AF13" s="30">
        <f t="shared" si="25"/>
        <v>42737.996742382456</v>
      </c>
      <c r="AG13" s="31">
        <f t="shared" si="26"/>
        <v>493570341.25715357</v>
      </c>
      <c r="AH13" s="31">
        <f t="shared" si="27"/>
        <v>4457991654783855</v>
      </c>
    </row>
    <row r="14" spans="1:34" ht="15" x14ac:dyDescent="0.25">
      <c r="A14" s="43" t="s">
        <v>66</v>
      </c>
      <c r="B14" s="46">
        <v>2.5192064617378999E-10</v>
      </c>
      <c r="H14" s="24">
        <f t="shared" si="28"/>
        <v>0.78158298749327626</v>
      </c>
      <c r="I14" s="34">
        <f t="shared" si="0"/>
        <v>4.1662541299406058E-10</v>
      </c>
      <c r="J14" s="35">
        <f t="shared" si="3"/>
        <v>0.11698619737288528</v>
      </c>
      <c r="K14" s="30">
        <f t="shared" si="4"/>
        <v>2975.915354848858</v>
      </c>
      <c r="L14" s="31">
        <f t="shared" si="5"/>
        <v>1093347652681322.3</v>
      </c>
      <c r="M14" s="31">
        <f t="shared" si="6"/>
        <v>1.2788430873207141E+21</v>
      </c>
      <c r="N14" s="30">
        <f t="shared" si="7"/>
        <v>8927.7460645465726</v>
      </c>
      <c r="O14" s="31">
        <f t="shared" si="8"/>
        <v>92501525693921.859</v>
      </c>
      <c r="P14" s="31">
        <f t="shared" si="9"/>
        <v>2.9687951471783353E+20</v>
      </c>
      <c r="Q14" s="30">
        <f t="shared" si="10"/>
        <v>14879.576774244289</v>
      </c>
      <c r="R14" s="31">
        <f t="shared" si="11"/>
        <v>8724916221096.3857</v>
      </c>
      <c r="S14" s="31">
        <f t="shared" si="12"/>
        <v>4.0943441372789326E+19</v>
      </c>
      <c r="T14" s="30">
        <f t="shared" si="13"/>
        <v>20831.407483942006</v>
      </c>
      <c r="U14" s="31">
        <f t="shared" si="14"/>
        <v>841375558648.57019</v>
      </c>
      <c r="V14" s="31">
        <f t="shared" si="15"/>
        <v>4.9463729603700337E+18</v>
      </c>
      <c r="W14" s="30">
        <f t="shared" si="16"/>
        <v>26783.238193639721</v>
      </c>
      <c r="X14" s="31">
        <f t="shared" si="17"/>
        <v>81811410897.372772</v>
      </c>
      <c r="Y14" s="31">
        <f t="shared" si="18"/>
        <v>5.6298809472355962E+17</v>
      </c>
      <c r="Z14" s="30">
        <f t="shared" si="19"/>
        <v>32735.068903337436</v>
      </c>
      <c r="AA14" s="31">
        <f t="shared" si="20"/>
        <v>7986853263.9881153</v>
      </c>
      <c r="AB14" s="31">
        <f t="shared" si="21"/>
        <v>6.1961532872767768E+16</v>
      </c>
      <c r="AC14" s="30">
        <f t="shared" si="22"/>
        <v>38686.899613035152</v>
      </c>
      <c r="AD14" s="31">
        <f t="shared" si="23"/>
        <v>781467035.67635238</v>
      </c>
      <c r="AE14" s="31">
        <f t="shared" si="24"/>
        <v>6674688265964318</v>
      </c>
      <c r="AF14" s="30">
        <f t="shared" si="25"/>
        <v>44638.730322732867</v>
      </c>
      <c r="AG14" s="31">
        <f t="shared" si="26"/>
        <v>76567721.216957465</v>
      </c>
      <c r="AH14" s="31">
        <f t="shared" si="27"/>
        <v>708431300328997.25</v>
      </c>
    </row>
    <row r="15" spans="1:34" ht="15" x14ac:dyDescent="0.25">
      <c r="A15" s="43" t="s">
        <v>67</v>
      </c>
      <c r="B15" s="45">
        <v>0.01</v>
      </c>
      <c r="H15" s="24">
        <f t="shared" si="28"/>
        <v>0.71052998863025119</v>
      </c>
      <c r="I15" s="34">
        <f t="shared" si="0"/>
        <v>3.997075968172549E-10</v>
      </c>
      <c r="J15" s="35">
        <f t="shared" si="3"/>
        <v>0.10077495405997079</v>
      </c>
      <c r="K15" s="30">
        <f t="shared" si="4"/>
        <v>3101.8724027807848</v>
      </c>
      <c r="L15" s="31">
        <f t="shared" si="5"/>
        <v>959895043018519.13</v>
      </c>
      <c r="M15" s="31">
        <f t="shared" si="6"/>
        <v>1.1724573416604859E+21</v>
      </c>
      <c r="N15" s="30">
        <f t="shared" si="7"/>
        <v>9305.6172083423553</v>
      </c>
      <c r="O15" s="31">
        <f t="shared" si="8"/>
        <v>61224884863061.633</v>
      </c>
      <c r="P15" s="31">
        <f t="shared" si="9"/>
        <v>2.0303584273279428E+20</v>
      </c>
      <c r="Q15" s="30">
        <f t="shared" si="10"/>
        <v>15509.362013903925</v>
      </c>
      <c r="R15" s="31">
        <f t="shared" si="11"/>
        <v>4329486983114.1709</v>
      </c>
      <c r="S15" s="31">
        <f t="shared" si="12"/>
        <v>2.0909498750649258E+19</v>
      </c>
      <c r="T15" s="30">
        <f t="shared" si="13"/>
        <v>21713.106819465494</v>
      </c>
      <c r="U15" s="31">
        <f t="shared" si="14"/>
        <v>312542086283.78888</v>
      </c>
      <c r="V15" s="31">
        <f t="shared" si="15"/>
        <v>1.8868912177431291E+18</v>
      </c>
      <c r="W15" s="30">
        <f t="shared" si="16"/>
        <v>27916.851625027066</v>
      </c>
      <c r="X15" s="31">
        <f t="shared" si="17"/>
        <v>22735482765.237286</v>
      </c>
      <c r="Y15" s="31">
        <f t="shared" si="18"/>
        <v>1.6044304710603104E+17</v>
      </c>
      <c r="Z15" s="30">
        <f t="shared" si="19"/>
        <v>34120.596430588637</v>
      </c>
      <c r="AA15" s="31">
        <f t="shared" si="20"/>
        <v>1659962319.5090621</v>
      </c>
      <c r="AB15" s="31">
        <f t="shared" si="21"/>
        <v>1.3192855970390226E+16</v>
      </c>
      <c r="AC15" s="30">
        <f t="shared" si="22"/>
        <v>40324.341236150205</v>
      </c>
      <c r="AD15" s="31">
        <f t="shared" si="23"/>
        <v>121446286.06257696</v>
      </c>
      <c r="AE15" s="31">
        <f t="shared" si="24"/>
        <v>1061849653628431</v>
      </c>
      <c r="AF15" s="30">
        <f t="shared" si="25"/>
        <v>46528.086041711773</v>
      </c>
      <c r="AG15" s="31">
        <f t="shared" si="26"/>
        <v>8896494.2713431437</v>
      </c>
      <c r="AH15" s="31">
        <f t="shared" si="27"/>
        <v>84209042142196.859</v>
      </c>
    </row>
    <row r="16" spans="1:34" ht="15" x14ac:dyDescent="0.25">
      <c r="A16" s="43" t="s">
        <v>68</v>
      </c>
      <c r="B16" s="45">
        <v>8.4666891478398995E-4</v>
      </c>
      <c r="D16" s="4"/>
      <c r="H16" s="24">
        <f t="shared" si="28"/>
        <v>0.63947698976722611</v>
      </c>
      <c r="I16" s="34">
        <f t="shared" si="0"/>
        <v>3.8440100122871641E-10</v>
      </c>
      <c r="J16" s="35">
        <f t="shared" si="3"/>
        <v>8.4878074739971721E-2</v>
      </c>
      <c r="K16" s="30">
        <f t="shared" si="4"/>
        <v>3225.386926116701</v>
      </c>
      <c r="L16" s="31">
        <f t="shared" si="5"/>
        <v>823326552095176.38</v>
      </c>
      <c r="M16" s="31">
        <f t="shared" si="6"/>
        <v>1.0471328477934605E+21</v>
      </c>
      <c r="N16" s="30">
        <f t="shared" si="7"/>
        <v>9676.1607783501022</v>
      </c>
      <c r="O16" s="31">
        <f t="shared" si="8"/>
        <v>37791390287940.414</v>
      </c>
      <c r="P16" s="31">
        <f t="shared" si="9"/>
        <v>1.2920676860237367E+20</v>
      </c>
      <c r="Q16" s="30">
        <f t="shared" si="10"/>
        <v>16126.934630583504</v>
      </c>
      <c r="R16" s="31">
        <f t="shared" si="11"/>
        <v>1912769544833.2151</v>
      </c>
      <c r="S16" s="31">
        <f t="shared" si="12"/>
        <v>9.4888832747171594E+18</v>
      </c>
      <c r="T16" s="30">
        <f t="shared" si="13"/>
        <v>22577.708482816906</v>
      </c>
      <c r="U16" s="31">
        <f t="shared" si="14"/>
        <v>98689315158.875397</v>
      </c>
      <c r="V16" s="31">
        <f t="shared" si="15"/>
        <v>6.1077720711216154E+17</v>
      </c>
      <c r="W16" s="30">
        <f t="shared" si="16"/>
        <v>29028.48233505031</v>
      </c>
      <c r="X16" s="31">
        <f t="shared" si="17"/>
        <v>5127939528.4062166</v>
      </c>
      <c r="Y16" s="31">
        <f t="shared" si="18"/>
        <v>3.70484886733374E+16</v>
      </c>
      <c r="Z16" s="30">
        <f t="shared" si="19"/>
        <v>35479.25618728371</v>
      </c>
      <c r="AA16" s="31">
        <f t="shared" si="20"/>
        <v>267351263.95169073</v>
      </c>
      <c r="AB16" s="31">
        <f t="shared" si="21"/>
        <v>2173348390339166</v>
      </c>
      <c r="AC16" s="30">
        <f t="shared" si="22"/>
        <v>41930.030039517107</v>
      </c>
      <c r="AD16" s="31">
        <f t="shared" si="23"/>
        <v>13964878.481662551</v>
      </c>
      <c r="AE16" s="31">
        <f t="shared" si="24"/>
        <v>124799098230816.67</v>
      </c>
      <c r="AF16" s="30">
        <f t="shared" si="25"/>
        <v>48380.803891750518</v>
      </c>
      <c r="AG16" s="31">
        <f t="shared" si="26"/>
        <v>730285.17467993754</v>
      </c>
      <c r="AH16" s="31">
        <f t="shared" si="27"/>
        <v>7061166513041.2578</v>
      </c>
    </row>
    <row r="17" spans="1:34" ht="15" x14ac:dyDescent="0.25">
      <c r="A17" s="43" t="s">
        <v>69</v>
      </c>
      <c r="B17" s="45">
        <v>1.357</v>
      </c>
      <c r="H17" s="24">
        <f t="shared" si="28"/>
        <v>0.56842399090420104</v>
      </c>
      <c r="I17" s="34">
        <f t="shared" si="0"/>
        <v>3.7070562622844521E-10</v>
      </c>
      <c r="J17" s="35">
        <f t="shared" si="3"/>
        <v>6.954178083175043E-2</v>
      </c>
      <c r="K17" s="30">
        <f t="shared" si="4"/>
        <v>3344.5458499333004</v>
      </c>
      <c r="L17" s="31">
        <f t="shared" si="5"/>
        <v>686247517928977.5</v>
      </c>
      <c r="M17" s="31">
        <f t="shared" si="6"/>
        <v>9.0589472956895566E+20</v>
      </c>
      <c r="N17" s="30">
        <f t="shared" si="7"/>
        <v>10033.637549799902</v>
      </c>
      <c r="O17" s="31">
        <f t="shared" si="8"/>
        <v>21416146609576.086</v>
      </c>
      <c r="P17" s="31">
        <f t="shared" si="9"/>
        <v>7.5304609156073357E+19</v>
      </c>
      <c r="Q17" s="30">
        <f t="shared" si="10"/>
        <v>16722.729249666503</v>
      </c>
      <c r="R17" s="31">
        <f t="shared" si="11"/>
        <v>733148303497.71716</v>
      </c>
      <c r="S17" s="31">
        <f t="shared" si="12"/>
        <v>3.7279195131731502E+18</v>
      </c>
      <c r="T17" s="30">
        <f t="shared" si="13"/>
        <v>23411.820949533103</v>
      </c>
      <c r="U17" s="31">
        <f t="shared" si="14"/>
        <v>25549826903.451878</v>
      </c>
      <c r="V17" s="31">
        <f t="shared" si="15"/>
        <v>1.6178130156639475E+17</v>
      </c>
      <c r="W17" s="30">
        <f t="shared" si="16"/>
        <v>30100.912649399706</v>
      </c>
      <c r="X17" s="31">
        <f t="shared" si="17"/>
        <v>896203939.79170454</v>
      </c>
      <c r="Y17" s="31">
        <f t="shared" si="18"/>
        <v>6616800868111430</v>
      </c>
      <c r="Z17" s="30">
        <f t="shared" si="19"/>
        <v>36790.004349266303</v>
      </c>
      <c r="AA17" s="31">
        <f t="shared" si="20"/>
        <v>31533285.769613594</v>
      </c>
      <c r="AB17" s="31">
        <f t="shared" si="21"/>
        <v>261734243288299.44</v>
      </c>
      <c r="AC17" s="30">
        <f t="shared" si="22"/>
        <v>43479.096049132902</v>
      </c>
      <c r="AD17" s="31">
        <f t="shared" si="23"/>
        <v>1111414.5788501424</v>
      </c>
      <c r="AE17" s="31">
        <f t="shared" si="24"/>
        <v>10134676730300.973</v>
      </c>
      <c r="AF17" s="30">
        <f t="shared" si="25"/>
        <v>50168.187748999509</v>
      </c>
      <c r="AG17" s="31">
        <f t="shared" si="26"/>
        <v>39213.767906305198</v>
      </c>
      <c r="AH17" s="31">
        <f t="shared" si="27"/>
        <v>386679798273.6424</v>
      </c>
    </row>
    <row r="18" spans="1:34" ht="15" x14ac:dyDescent="0.25">
      <c r="A18" s="43" t="s">
        <v>70</v>
      </c>
      <c r="B18" s="45">
        <v>1.6</v>
      </c>
      <c r="H18" s="24">
        <f t="shared" si="28"/>
        <v>0.49737099204117596</v>
      </c>
      <c r="I18" s="34">
        <f t="shared" si="0"/>
        <v>3.5862147181644109E-10</v>
      </c>
      <c r="J18" s="35">
        <f t="shared" si="3"/>
        <v>5.5037006307240392E-2</v>
      </c>
      <c r="K18" s="30">
        <f t="shared" si="4"/>
        <v>3457.2440893440976</v>
      </c>
      <c r="L18" s="31">
        <f t="shared" si="5"/>
        <v>551815439677950.69</v>
      </c>
      <c r="M18" s="31">
        <f t="shared" si="6"/>
        <v>7.5342244548740212E+20</v>
      </c>
      <c r="N18" s="30">
        <f t="shared" si="7"/>
        <v>10371.732268032292</v>
      </c>
      <c r="O18" s="31">
        <f t="shared" si="8"/>
        <v>10906695725433.4</v>
      </c>
      <c r="P18" s="31">
        <f t="shared" si="9"/>
        <v>3.9337547050385138E+19</v>
      </c>
      <c r="Q18" s="30">
        <f t="shared" si="10"/>
        <v>17286.22044672049</v>
      </c>
      <c r="R18" s="31">
        <f t="shared" si="11"/>
        <v>235318650958.87921</v>
      </c>
      <c r="S18" s="31">
        <f t="shared" si="12"/>
        <v>1.2236173070612974E+18</v>
      </c>
      <c r="T18" s="30">
        <f t="shared" si="13"/>
        <v>24200.708625408686</v>
      </c>
      <c r="U18" s="31">
        <f t="shared" si="14"/>
        <v>5161958209.5715837</v>
      </c>
      <c r="V18" s="31">
        <f t="shared" si="15"/>
        <v>3.3369961807141084E+16</v>
      </c>
      <c r="W18" s="30">
        <f t="shared" si="16"/>
        <v>31115.196804096882</v>
      </c>
      <c r="X18" s="31">
        <f t="shared" si="17"/>
        <v>113912472.75130455</v>
      </c>
      <c r="Y18" s="31">
        <f t="shared" si="18"/>
        <v>857731768205288.75</v>
      </c>
      <c r="Z18" s="30">
        <f t="shared" si="19"/>
        <v>38029.684982785075</v>
      </c>
      <c r="AA18" s="31">
        <f t="shared" si="20"/>
        <v>2520915.5470687388</v>
      </c>
      <c r="AB18" s="31">
        <f t="shared" si="21"/>
        <v>21323390717467.164</v>
      </c>
      <c r="AC18" s="30">
        <f t="shared" si="22"/>
        <v>44944.173161473271</v>
      </c>
      <c r="AD18" s="31">
        <f t="shared" si="23"/>
        <v>55875.906601682567</v>
      </c>
      <c r="AE18" s="31">
        <f t="shared" si="24"/>
        <v>518929563485.93365</v>
      </c>
      <c r="AF18" s="30">
        <f t="shared" si="25"/>
        <v>51858.661340161467</v>
      </c>
      <c r="AG18" s="31">
        <f t="shared" si="26"/>
        <v>1239.668316373122</v>
      </c>
      <c r="AH18" s="31">
        <f t="shared" si="27"/>
        <v>12444003308.092318</v>
      </c>
    </row>
    <row r="19" spans="1:34" ht="15" x14ac:dyDescent="0.25">
      <c r="A19" s="43" t="s">
        <v>71</v>
      </c>
      <c r="B19" s="47">
        <f>ABS(1/(B9*1000000000*B4/(B5*B6^2)))*1000</f>
        <v>0.17033298068619876</v>
      </c>
      <c r="H19" s="24">
        <f t="shared" si="28"/>
        <v>0.42631799317815089</v>
      </c>
      <c r="I19" s="34">
        <f t="shared" si="0"/>
        <v>3.4814853799270432E-10</v>
      </c>
      <c r="J19" s="35">
        <f t="shared" si="3"/>
        <v>4.1651719630971869E-2</v>
      </c>
      <c r="K19" s="30">
        <f t="shared" si="4"/>
        <v>3561.2442059867376</v>
      </c>
      <c r="L19" s="31">
        <f t="shared" si="5"/>
        <v>423658163221333.38</v>
      </c>
      <c r="M19" s="31">
        <f t="shared" si="6"/>
        <v>5.9602108948564961E+20</v>
      </c>
      <c r="N19" s="30">
        <f t="shared" si="7"/>
        <v>10683.732617960211</v>
      </c>
      <c r="O19" s="31">
        <f t="shared" si="8"/>
        <v>4841339803432.3086</v>
      </c>
      <c r="P19" s="31">
        <f t="shared" si="9"/>
        <v>1.7859422314150081E+19</v>
      </c>
      <c r="Q19" s="30">
        <f t="shared" si="10"/>
        <v>17806.221029933688</v>
      </c>
      <c r="R19" s="31">
        <f t="shared" si="11"/>
        <v>60120843724.778976</v>
      </c>
      <c r="S19" s="31">
        <f t="shared" si="12"/>
        <v>3.188879490097177E+17</v>
      </c>
      <c r="T19" s="30">
        <f t="shared" si="13"/>
        <v>24928.709441907165</v>
      </c>
      <c r="U19" s="31">
        <f t="shared" si="14"/>
        <v>758190650.30101466</v>
      </c>
      <c r="V19" s="31">
        <f t="shared" si="15"/>
        <v>4992462928547404</v>
      </c>
      <c r="W19" s="30">
        <f t="shared" si="16"/>
        <v>32051.19785388064</v>
      </c>
      <c r="X19" s="31">
        <f t="shared" si="17"/>
        <v>9614518.9633982219</v>
      </c>
      <c r="Y19" s="31">
        <f t="shared" si="18"/>
        <v>73670911472073.328</v>
      </c>
      <c r="Z19" s="30">
        <f t="shared" si="19"/>
        <v>39173.686265854114</v>
      </c>
      <c r="AA19" s="31">
        <f t="shared" si="20"/>
        <v>122237.57289587056</v>
      </c>
      <c r="AB19" s="31">
        <f t="shared" si="21"/>
        <v>1051472019650.9945</v>
      </c>
      <c r="AC19" s="30">
        <f t="shared" si="22"/>
        <v>46296.174677827585</v>
      </c>
      <c r="AD19" s="31">
        <f t="shared" si="23"/>
        <v>1556.3327024097766</v>
      </c>
      <c r="AE19" s="31">
        <f t="shared" si="24"/>
        <v>14691104933.2402</v>
      </c>
      <c r="AF19" s="30">
        <f t="shared" si="25"/>
        <v>53418.663089801063</v>
      </c>
      <c r="AG19" s="31">
        <f t="shared" si="26"/>
        <v>19.83252328340507</v>
      </c>
      <c r="AH19" s="31">
        <f t="shared" si="27"/>
        <v>202262913.82850128</v>
      </c>
    </row>
    <row r="20" spans="1:34" ht="15" x14ac:dyDescent="0.25">
      <c r="A20" s="43" t="s">
        <v>72</v>
      </c>
      <c r="B20" s="47">
        <f>1/B19*1000</f>
        <v>5870.853641916131</v>
      </c>
      <c r="H20" s="24">
        <f t="shared" si="28"/>
        <v>0.35526499431512581</v>
      </c>
      <c r="I20" s="34">
        <f t="shared" si="0"/>
        <v>3.3928682475723469E-10</v>
      </c>
      <c r="J20" s="35">
        <f t="shared" si="3"/>
        <v>2.9680282114919732E-2</v>
      </c>
      <c r="K20" s="30">
        <f t="shared" si="4"/>
        <v>3654.2590907748895</v>
      </c>
      <c r="L20" s="31">
        <f t="shared" si="5"/>
        <v>305725906419038.13</v>
      </c>
      <c r="M20" s="31">
        <f t="shared" si="6"/>
        <v>4.4138047408240768E+20</v>
      </c>
      <c r="N20" s="30">
        <f t="shared" si="7"/>
        <v>10962.777272324669</v>
      </c>
      <c r="O20" s="31">
        <f t="shared" si="8"/>
        <v>1787847552514.0935</v>
      </c>
      <c r="P20" s="31">
        <f t="shared" si="9"/>
        <v>6.7249082401023222E+18</v>
      </c>
      <c r="Q20" s="30">
        <f t="shared" si="10"/>
        <v>18271.295453874449</v>
      </c>
      <c r="R20" s="31">
        <f t="shared" si="11"/>
        <v>11316072098.817612</v>
      </c>
      <c r="S20" s="31">
        <f t="shared" si="12"/>
        <v>6.1060785251950344E+16</v>
      </c>
      <c r="T20" s="30">
        <f t="shared" si="13"/>
        <v>25579.813635424231</v>
      </c>
      <c r="U20" s="31">
        <f t="shared" si="14"/>
        <v>72662700.043613672</v>
      </c>
      <c r="V20" s="31">
        <f t="shared" si="15"/>
        <v>486140852752133.06</v>
      </c>
      <c r="W20" s="30">
        <f t="shared" si="16"/>
        <v>32888.331816974009</v>
      </c>
      <c r="X20" s="31">
        <f t="shared" si="17"/>
        <v>468969.29858662892</v>
      </c>
      <c r="Y20" s="31">
        <f t="shared" si="18"/>
        <v>3648191647193.415</v>
      </c>
      <c r="Z20" s="30">
        <f t="shared" si="19"/>
        <v>40196.849998523787</v>
      </c>
      <c r="AA20" s="31">
        <f t="shared" si="20"/>
        <v>3033.9995984359316</v>
      </c>
      <c r="AB20" s="31">
        <f t="shared" si="21"/>
        <v>26480193096.821224</v>
      </c>
      <c r="AC20" s="30">
        <f t="shared" si="22"/>
        <v>47505.368180073565</v>
      </c>
      <c r="AD20" s="31">
        <f t="shared" si="23"/>
        <v>19.654215367107337</v>
      </c>
      <c r="AE20" s="31">
        <f t="shared" si="24"/>
        <v>188158988.6493068</v>
      </c>
      <c r="AF20" s="30">
        <f t="shared" si="25"/>
        <v>54813.886361623343</v>
      </c>
      <c r="AG20" s="31">
        <f t="shared" si="26"/>
        <v>0.12742113004924946</v>
      </c>
      <c r="AH20" s="31">
        <f t="shared" si="27"/>
        <v>1317460.9626547582</v>
      </c>
    </row>
    <row r="21" spans="1:34" ht="15" x14ac:dyDescent="0.25">
      <c r="A21" s="43" t="s">
        <v>73</v>
      </c>
      <c r="B21" s="48">
        <v>1.84E-2</v>
      </c>
      <c r="H21" s="24">
        <f t="shared" si="28"/>
        <v>0.28421199545210074</v>
      </c>
      <c r="I21" s="34">
        <f t="shared" si="0"/>
        <v>3.3203633211003219E-10</v>
      </c>
      <c r="J21" s="35">
        <f t="shared" si="3"/>
        <v>1.9410172110120461E-2</v>
      </c>
      <c r="K21" s="30">
        <f t="shared" si="4"/>
        <v>3734.0551133976678</v>
      </c>
      <c r="L21" s="31">
        <f t="shared" si="5"/>
        <v>202078361026569.66</v>
      </c>
      <c r="M21" s="31">
        <f t="shared" si="6"/>
        <v>2.9809808234059596E+20</v>
      </c>
      <c r="N21" s="30">
        <f t="shared" si="7"/>
        <v>11202.165340193003</v>
      </c>
      <c r="O21" s="31">
        <f t="shared" si="8"/>
        <v>508543308580.70911</v>
      </c>
      <c r="P21" s="31">
        <f t="shared" si="9"/>
        <v>1.9441224020864348E+18</v>
      </c>
      <c r="Q21" s="30">
        <f t="shared" si="10"/>
        <v>18670.275566988341</v>
      </c>
      <c r="R21" s="31">
        <f t="shared" si="11"/>
        <v>1380420720.4658267</v>
      </c>
      <c r="S21" s="31">
        <f t="shared" si="12"/>
        <v>7555940428437525</v>
      </c>
      <c r="T21" s="30">
        <f t="shared" si="13"/>
        <v>26138.385793783676</v>
      </c>
      <c r="U21" s="31">
        <f t="shared" si="14"/>
        <v>3798118.7727139504</v>
      </c>
      <c r="V21" s="31">
        <f t="shared" si="15"/>
        <v>25750325998276.906</v>
      </c>
      <c r="W21" s="30">
        <f t="shared" si="16"/>
        <v>33606.496020579012</v>
      </c>
      <c r="X21" s="31">
        <f t="shared" si="17"/>
        <v>10500.043503173043</v>
      </c>
      <c r="Y21" s="31">
        <f t="shared" si="18"/>
        <v>82717693652.909027</v>
      </c>
      <c r="Z21" s="30">
        <f t="shared" si="19"/>
        <v>41074.606247374344</v>
      </c>
      <c r="AA21" s="31">
        <f t="shared" si="20"/>
        <v>29.092153664789475</v>
      </c>
      <c r="AB21" s="31">
        <f t="shared" si="21"/>
        <v>257007871.60128438</v>
      </c>
      <c r="AC21" s="30">
        <f t="shared" si="22"/>
        <v>48542.716474169676</v>
      </c>
      <c r="AD21" s="31">
        <f t="shared" si="23"/>
        <v>8.0702355802826031E-2</v>
      </c>
      <c r="AE21" s="31">
        <f t="shared" si="24"/>
        <v>781732.28921891283</v>
      </c>
      <c r="AF21" s="30">
        <f t="shared" si="25"/>
        <v>56010.826700965015</v>
      </c>
      <c r="AG21" s="31">
        <f t="shared" si="26"/>
        <v>2.2403447978385969E-4</v>
      </c>
      <c r="AH21" s="31">
        <f t="shared" si="27"/>
        <v>2343.0482158209047</v>
      </c>
    </row>
    <row r="22" spans="1:34" ht="15" x14ac:dyDescent="0.25">
      <c r="A22" s="43" t="s">
        <v>74</v>
      </c>
      <c r="B22" s="48">
        <v>1.9980000000000002E-3</v>
      </c>
      <c r="H22" s="24">
        <f t="shared" si="28"/>
        <v>0.21315899658907564</v>
      </c>
      <c r="I22" s="34">
        <f t="shared" si="0"/>
        <v>3.2639706005109703E-10</v>
      </c>
      <c r="J22" s="35">
        <f t="shared" si="3"/>
        <v>1.1106859611522539E-2</v>
      </c>
      <c r="K22" s="30">
        <f t="shared" si="4"/>
        <v>3798.5696426161931</v>
      </c>
      <c r="L22" s="31">
        <f t="shared" si="5"/>
        <v>116619417996571.47</v>
      </c>
      <c r="M22" s="31">
        <f t="shared" si="6"/>
        <v>1.7498321813505448E+20</v>
      </c>
      <c r="N22" s="30">
        <f t="shared" si="7"/>
        <v>11395.70892784858</v>
      </c>
      <c r="O22" s="31">
        <f t="shared" si="8"/>
        <v>96546047233.115753</v>
      </c>
      <c r="P22" s="31">
        <f t="shared" si="9"/>
        <v>3.7383932242601754E+17</v>
      </c>
      <c r="Q22" s="30">
        <f t="shared" si="10"/>
        <v>18992.848213080968</v>
      </c>
      <c r="R22" s="31">
        <f t="shared" si="11"/>
        <v>85974446.708442941</v>
      </c>
      <c r="S22" s="31">
        <f t="shared" si="12"/>
        <v>475936719599002.19</v>
      </c>
      <c r="T22" s="30">
        <f t="shared" si="13"/>
        <v>26589.987498313352</v>
      </c>
      <c r="U22" s="31">
        <f t="shared" si="14"/>
        <v>77548.757651641645</v>
      </c>
      <c r="V22" s="31">
        <f t="shared" si="15"/>
        <v>531301266296.51666</v>
      </c>
      <c r="W22" s="30">
        <f t="shared" si="16"/>
        <v>34187.12678354574</v>
      </c>
      <c r="X22" s="31">
        <f t="shared" si="17"/>
        <v>70.262605992907993</v>
      </c>
      <c r="Y22" s="31">
        <f t="shared" si="18"/>
        <v>559056698.63300335</v>
      </c>
      <c r="Z22" s="30">
        <f t="shared" si="19"/>
        <v>41784.266068778124</v>
      </c>
      <c r="AA22" s="31">
        <f t="shared" si="20"/>
        <v>6.3793292214553987E-2</v>
      </c>
      <c r="AB22" s="31">
        <f t="shared" si="21"/>
        <v>568990.86520625639</v>
      </c>
      <c r="AC22" s="30">
        <f t="shared" si="22"/>
        <v>49381.405354010509</v>
      </c>
      <c r="AD22" s="31">
        <f t="shared" si="23"/>
        <v>5.7985115399937044E-5</v>
      </c>
      <c r="AE22" s="31">
        <f t="shared" si="24"/>
        <v>566.91793730743655</v>
      </c>
      <c r="AF22" s="30">
        <f t="shared" si="25"/>
        <v>56978.5446392429</v>
      </c>
      <c r="AG22" s="31">
        <f t="shared" si="26"/>
        <v>5.2741754071317631E-8</v>
      </c>
      <c r="AH22" s="31">
        <f t="shared" si="27"/>
        <v>0.55660643751740302</v>
      </c>
    </row>
    <row r="23" spans="1:34" ht="15" x14ac:dyDescent="0.25">
      <c r="A23" s="43" t="s">
        <v>75</v>
      </c>
      <c r="B23" s="48">
        <v>1.3559999999999999E-2</v>
      </c>
      <c r="H23" s="24">
        <f t="shared" si="28"/>
        <v>0.14210599772605054</v>
      </c>
      <c r="I23" s="34">
        <f t="shared" si="0"/>
        <v>3.2236900858042896E-10</v>
      </c>
      <c r="J23" s="35">
        <f t="shared" si="3"/>
        <v>4.9980629197648981E-3</v>
      </c>
      <c r="K23" s="30">
        <f t="shared" si="4"/>
        <v>3846.0333678134548</v>
      </c>
      <c r="L23" s="31">
        <f t="shared" si="5"/>
        <v>52803958540888.5</v>
      </c>
      <c r="M23" s="31">
        <f t="shared" si="6"/>
        <v>8.0209721629149086E+19</v>
      </c>
      <c r="N23" s="30">
        <f t="shared" si="7"/>
        <v>11538.100103440365</v>
      </c>
      <c r="O23" s="31">
        <f t="shared" si="8"/>
        <v>8881083715.0730381</v>
      </c>
      <c r="P23" s="31">
        <f t="shared" si="9"/>
        <v>3.470787739412984E+16</v>
      </c>
      <c r="Q23" s="30">
        <f t="shared" si="10"/>
        <v>19230.166839067275</v>
      </c>
      <c r="R23" s="31">
        <f t="shared" si="11"/>
        <v>1603436.0997571012</v>
      </c>
      <c r="S23" s="31">
        <f t="shared" si="12"/>
        <v>8948979748513.7266</v>
      </c>
      <c r="T23" s="30">
        <f t="shared" si="13"/>
        <v>26922.233574694186</v>
      </c>
      <c r="U23" s="31">
        <f t="shared" si="14"/>
        <v>293.07983221294137</v>
      </c>
      <c r="V23" s="31">
        <f t="shared" si="15"/>
        <v>2023212049.5347285</v>
      </c>
      <c r="W23" s="30">
        <f t="shared" si="16"/>
        <v>34614.300310321094</v>
      </c>
      <c r="X23" s="31">
        <f t="shared" si="17"/>
        <v>5.3799130099467032E-2</v>
      </c>
      <c r="Y23" s="31">
        <f t="shared" si="18"/>
        <v>431154.07308799081</v>
      </c>
      <c r="Z23" s="30">
        <f t="shared" si="19"/>
        <v>42306.367045948005</v>
      </c>
      <c r="AA23" s="31">
        <f t="shared" si="20"/>
        <v>9.8951284441897995E-6</v>
      </c>
      <c r="AB23" s="31">
        <f t="shared" si="21"/>
        <v>88.870734442062428</v>
      </c>
      <c r="AC23" s="30">
        <f t="shared" si="22"/>
        <v>49998.43378157491</v>
      </c>
      <c r="AD23" s="31">
        <f t="shared" si="23"/>
        <v>1.8219352177046658E-9</v>
      </c>
      <c r="AE23" s="31">
        <f t="shared" si="24"/>
        <v>1.79329361263387E-2</v>
      </c>
      <c r="AF23" s="30">
        <f t="shared" si="25"/>
        <v>57690.500517201828</v>
      </c>
      <c r="AG23" s="31">
        <f t="shared" si="26"/>
        <v>3.3567968253238093E-13</v>
      </c>
      <c r="AH23" s="31">
        <f t="shared" si="27"/>
        <v>3.5658085040560204E-6</v>
      </c>
    </row>
    <row r="24" spans="1:34" ht="15" x14ac:dyDescent="0.25">
      <c r="A24" s="43" t="s">
        <v>76</v>
      </c>
      <c r="B24" s="48">
        <v>1.2489999999999999E-3</v>
      </c>
      <c r="H24" s="24">
        <f t="shared" si="28"/>
        <v>7.1052998863025435E-2</v>
      </c>
      <c r="I24" s="34">
        <f t="shared" si="0"/>
        <v>3.1995217769802812E-10</v>
      </c>
      <c r="J24" s="35">
        <f t="shared" si="3"/>
        <v>1.2589542286127967E-3</v>
      </c>
      <c r="K24" s="30">
        <f t="shared" si="4"/>
        <v>3875.0852476442233</v>
      </c>
      <c r="L24" s="31">
        <f t="shared" si="5"/>
        <v>13350766769318.893</v>
      </c>
      <c r="M24" s="31">
        <f t="shared" si="6"/>
        <v>2.0431107140529848E+19</v>
      </c>
      <c r="N24" s="30">
        <f t="shared" si="7"/>
        <v>11625.25574293267</v>
      </c>
      <c r="O24" s="31">
        <f t="shared" si="8"/>
        <v>142743079.76355842</v>
      </c>
      <c r="P24" s="31">
        <f t="shared" si="9"/>
        <v>560973134111257.88</v>
      </c>
      <c r="Q24" s="30">
        <f t="shared" si="10"/>
        <v>19375.426238221116</v>
      </c>
      <c r="R24" s="31">
        <f t="shared" si="11"/>
        <v>1636.246319000323</v>
      </c>
      <c r="S24" s="31">
        <f t="shared" si="12"/>
        <v>9177241813.3702259</v>
      </c>
      <c r="T24" s="30">
        <f t="shared" si="13"/>
        <v>27125.596733509563</v>
      </c>
      <c r="U24" s="31">
        <f t="shared" si="14"/>
        <v>1.8982585369161534E-2</v>
      </c>
      <c r="V24" s="31">
        <f t="shared" si="15"/>
        <v>131643.7148799992</v>
      </c>
      <c r="W24" s="30">
        <f t="shared" si="16"/>
        <v>34875.767228798009</v>
      </c>
      <c r="X24" s="31">
        <f t="shared" si="17"/>
        <v>2.2113772954465711E-7</v>
      </c>
      <c r="Y24" s="31">
        <f t="shared" si="18"/>
        <v>1.7799612894417078</v>
      </c>
      <c r="Z24" s="30">
        <f t="shared" si="19"/>
        <v>42625.937724086456</v>
      </c>
      <c r="AA24" s="31">
        <f t="shared" si="20"/>
        <v>2.5810716966541471E-12</v>
      </c>
      <c r="AB24" s="31">
        <f t="shared" si="21"/>
        <v>2.3278569851766418E-5</v>
      </c>
      <c r="AC24" s="30">
        <f t="shared" si="22"/>
        <v>50376.108219374895</v>
      </c>
      <c r="AD24" s="31">
        <f t="shared" si="23"/>
        <v>3.0156928040827892E-17</v>
      </c>
      <c r="AE24" s="31">
        <f t="shared" si="24"/>
        <v>2.9803600807470776E-10</v>
      </c>
      <c r="AF24" s="30">
        <f t="shared" si="25"/>
        <v>58126.278714663349</v>
      </c>
      <c r="AG24" s="31">
        <f t="shared" si="26"/>
        <v>3.5256976842257859E-22</v>
      </c>
      <c r="AH24" s="31">
        <f t="shared" si="27"/>
        <v>3.7600668286697274E-15</v>
      </c>
    </row>
    <row r="25" spans="1:34" x14ac:dyDescent="0.2">
      <c r="A25" s="11"/>
      <c r="B25" s="13"/>
      <c r="H25" s="24"/>
      <c r="I25" s="24"/>
      <c r="J25" s="30"/>
      <c r="K25" s="30"/>
      <c r="L25" s="31"/>
      <c r="M25" s="31"/>
      <c r="N25" s="30"/>
      <c r="O25" s="31"/>
      <c r="P25" s="31"/>
      <c r="Q25" s="30"/>
      <c r="R25" s="31"/>
      <c r="S25" s="31"/>
      <c r="T25" s="30"/>
      <c r="U25" s="31"/>
      <c r="V25" s="31"/>
      <c r="W25" s="30"/>
      <c r="X25" s="31"/>
      <c r="Y25" s="31"/>
    </row>
    <row r="26" spans="1:34" x14ac:dyDescent="0.2">
      <c r="A26" s="11"/>
      <c r="B26" s="13"/>
    </row>
    <row r="27" spans="1:34" ht="15" x14ac:dyDescent="0.25">
      <c r="A27" s="43" t="s">
        <v>18</v>
      </c>
      <c r="B27" s="49">
        <f>'Create Undulator Magnet'!B16</f>
        <v>0.69178142045458546</v>
      </c>
    </row>
    <row r="28" spans="1:34" ht="15" x14ac:dyDescent="0.25">
      <c r="A28" s="43" t="s">
        <v>17</v>
      </c>
      <c r="B28" s="49">
        <f>'Create Undulator Magnet'!B10</f>
        <v>22</v>
      </c>
    </row>
    <row r="29" spans="1:34" ht="15" x14ac:dyDescent="0.25">
      <c r="A29" s="43" t="s">
        <v>19</v>
      </c>
      <c r="B29" s="49">
        <f>'Create Undulator Magnet'!B12</f>
        <v>8</v>
      </c>
    </row>
    <row r="30" spans="1:34" ht="15" x14ac:dyDescent="0.25">
      <c r="A30" s="43" t="s">
        <v>87</v>
      </c>
      <c r="B30" s="47">
        <f>B31*B28</f>
        <v>1166</v>
      </c>
    </row>
    <row r="31" spans="1:34" ht="15" x14ac:dyDescent="0.25">
      <c r="A31" s="43" t="s">
        <v>55</v>
      </c>
      <c r="B31" s="50">
        <f>'Create Undulator Magnet'!B11</f>
        <v>53</v>
      </c>
    </row>
    <row r="32" spans="1:34" ht="15" x14ac:dyDescent="0.25">
      <c r="A32" s="43" t="s">
        <v>56</v>
      </c>
      <c r="B32" s="47">
        <f>'Create Undulator Magnet'!B17</f>
        <v>1.4210599772605019</v>
      </c>
      <c r="C32" s="25"/>
    </row>
    <row r="33" spans="1:12" x14ac:dyDescent="0.2">
      <c r="A33" s="11"/>
      <c r="B33" s="13"/>
      <c r="L33" s="4"/>
    </row>
    <row r="34" spans="1:12" ht="15" x14ac:dyDescent="0.25">
      <c r="A34" s="43" t="s">
        <v>105</v>
      </c>
      <c r="B34" s="49">
        <f>632.8*B9^2*B27^2*B10*B31*(B28/1000)</f>
        <v>1112.2780381976368</v>
      </c>
    </row>
    <row r="35" spans="1:12" ht="15.75" thickBot="1" x14ac:dyDescent="0.3">
      <c r="A35" s="51" t="s">
        <v>77</v>
      </c>
      <c r="B35" s="52">
        <f>((B28/1000)/(2*B20^2)*(1+B32^2/2))*1000000000</f>
        <v>0.64139068505733576</v>
      </c>
    </row>
    <row r="36" spans="1:12" x14ac:dyDescent="0.2">
      <c r="A36" s="12"/>
      <c r="B36" s="12"/>
      <c r="G36" s="36"/>
    </row>
    <row r="37" spans="1:12" x14ac:dyDescent="0.2">
      <c r="A37" s="12"/>
      <c r="B37" s="12"/>
    </row>
  </sheetData>
  <mergeCells count="9">
    <mergeCell ref="AF3:AH3"/>
    <mergeCell ref="N3:P3"/>
    <mergeCell ref="Q3:S3"/>
    <mergeCell ref="T3:V3"/>
    <mergeCell ref="A1:B1"/>
    <mergeCell ref="W3:Y3"/>
    <mergeCell ref="Z3:AB3"/>
    <mergeCell ref="AC3:AE3"/>
    <mergeCell ref="K3:M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2"/>
  <sheetViews>
    <sheetView tabSelected="1" workbookViewId="0">
      <selection activeCell="B20" sqref="B20"/>
    </sheetView>
  </sheetViews>
  <sheetFormatPr defaultRowHeight="12.75" x14ac:dyDescent="0.2"/>
  <cols>
    <col min="1" max="1" width="43" bestFit="1" customWidth="1"/>
    <col min="2" max="2" width="31.7109375" customWidth="1"/>
    <col min="3" max="3" width="4.5703125" customWidth="1"/>
    <col min="4" max="4" width="26.85546875" customWidth="1"/>
    <col min="5" max="5" width="3.85546875" customWidth="1"/>
    <col min="6" max="7" width="9.5703125" customWidth="1"/>
    <col min="8" max="8" width="12" customWidth="1"/>
    <col min="9" max="9" width="12.42578125" customWidth="1"/>
    <col min="10" max="10" width="11.85546875" customWidth="1"/>
    <col min="11" max="11" width="8" customWidth="1"/>
    <col min="16" max="16" width="11.5703125" customWidth="1"/>
    <col min="17" max="17" width="13.7109375" customWidth="1"/>
  </cols>
  <sheetData>
    <row r="1" spans="1:26" ht="21" customHeight="1" thickBot="1" x14ac:dyDescent="0.35">
      <c r="A1" s="96" t="s">
        <v>107</v>
      </c>
      <c r="B1" s="97"/>
      <c r="F1" s="98" t="s">
        <v>48</v>
      </c>
      <c r="G1" s="99"/>
      <c r="H1" s="99"/>
      <c r="I1" s="99"/>
      <c r="J1" s="100"/>
      <c r="L1" s="98" t="s">
        <v>84</v>
      </c>
      <c r="M1" s="99"/>
      <c r="N1" s="99"/>
      <c r="O1" s="99"/>
      <c r="P1" s="99"/>
      <c r="Q1" s="100"/>
      <c r="R1" s="32"/>
      <c r="X1" s="32"/>
      <c r="Y1" s="32"/>
      <c r="Z1" s="32"/>
    </row>
    <row r="2" spans="1:26" ht="15.75" customHeight="1" thickBot="1" x14ac:dyDescent="0.25">
      <c r="A2" s="75"/>
      <c r="B2" s="76"/>
      <c r="F2" s="71"/>
      <c r="G2" s="101" t="s">
        <v>110</v>
      </c>
      <c r="H2" s="101"/>
      <c r="I2" s="101" t="str">
        <f>CONCATENATE(G2, " Scaled")</f>
        <v>APU 22 Scaled</v>
      </c>
      <c r="J2" s="102"/>
      <c r="L2" s="72" t="s">
        <v>36</v>
      </c>
      <c r="M2" s="73" t="s">
        <v>37</v>
      </c>
      <c r="N2" s="73" t="s">
        <v>43</v>
      </c>
      <c r="O2" s="73" t="s">
        <v>36</v>
      </c>
      <c r="P2" s="73" t="s">
        <v>90</v>
      </c>
      <c r="Q2" s="74" t="s">
        <v>45</v>
      </c>
    </row>
    <row r="3" spans="1:26" ht="15" thickBot="1" x14ac:dyDescent="0.25">
      <c r="A3" s="60" t="s">
        <v>85</v>
      </c>
      <c r="B3" s="13"/>
      <c r="F3" s="55" t="s">
        <v>94</v>
      </c>
      <c r="G3" s="54" t="s">
        <v>36</v>
      </c>
      <c r="H3" s="54" t="s">
        <v>37</v>
      </c>
      <c r="I3" s="81" t="s">
        <v>36</v>
      </c>
      <c r="J3" s="82" t="s">
        <v>37</v>
      </c>
      <c r="K3" s="1"/>
      <c r="L3" s="11">
        <f>B7/2*-1</f>
        <v>-3.5</v>
      </c>
      <c r="M3" s="12">
        <f>B6/2*-1</f>
        <v>-2.0449999999999999</v>
      </c>
      <c r="N3" s="12">
        <f>B7/2</f>
        <v>3.5</v>
      </c>
      <c r="O3" s="12">
        <f>N3*-1</f>
        <v>-3.5</v>
      </c>
      <c r="P3" s="12">
        <f>SQRT((1-(O3)^2/$N$3^2)*$N$5^2)</f>
        <v>0</v>
      </c>
      <c r="Q3" s="13">
        <f t="shared" ref="Q3:Q24" si="0">-SQRT((1-(O3)^2/$N$3^2)*$N$5^2)</f>
        <v>0</v>
      </c>
    </row>
    <row r="4" spans="1:26" ht="15" x14ac:dyDescent="0.25">
      <c r="A4" s="43" t="s">
        <v>31</v>
      </c>
      <c r="B4" s="61" t="s">
        <v>28</v>
      </c>
      <c r="F4" s="78">
        <v>1</v>
      </c>
      <c r="G4" s="79">
        <v>14.5</v>
      </c>
      <c r="H4" s="79">
        <v>0</v>
      </c>
      <c r="I4" s="79">
        <f t="shared" ref="I4:I11" si="1">G4*$F$4</f>
        <v>14.5</v>
      </c>
      <c r="J4" s="80">
        <f t="shared" ref="J4:J11" si="2">H4*$F$4</f>
        <v>0</v>
      </c>
      <c r="K4" s="3"/>
      <c r="L4" s="11">
        <f>B7/2</f>
        <v>3.5</v>
      </c>
      <c r="M4" s="12">
        <f>B6/2*-1</f>
        <v>-2.0449999999999999</v>
      </c>
      <c r="N4" s="14" t="s">
        <v>44</v>
      </c>
      <c r="O4" s="12">
        <f t="shared" ref="O4:O24" si="3">O3+$N$3*2/21</f>
        <v>-3.1666666666666665</v>
      </c>
      <c r="P4" s="12">
        <f t="shared" ref="P4:P24" si="4">SQRT((1-(O4)^2/$N$3^2)*$N$5^2)</f>
        <v>0.87100171694991813</v>
      </c>
      <c r="Q4" s="13">
        <f t="shared" si="0"/>
        <v>-0.87100171694991813</v>
      </c>
    </row>
    <row r="5" spans="1:26" ht="14.25" x14ac:dyDescent="0.2">
      <c r="A5" s="62" t="s">
        <v>30</v>
      </c>
      <c r="B5" s="13"/>
      <c r="F5" s="11"/>
      <c r="G5" s="12">
        <v>17.5</v>
      </c>
      <c r="H5" s="12">
        <v>3</v>
      </c>
      <c r="I5" s="12">
        <f t="shared" si="1"/>
        <v>17.5</v>
      </c>
      <c r="J5" s="13">
        <f t="shared" si="2"/>
        <v>3</v>
      </c>
      <c r="K5" s="3"/>
      <c r="L5" s="11">
        <f>B7/2</f>
        <v>3.5</v>
      </c>
      <c r="M5" s="12">
        <f>B6/2</f>
        <v>2.0449999999999999</v>
      </c>
      <c r="N5" s="12">
        <f>B6/2</f>
        <v>2.0449999999999999</v>
      </c>
      <c r="O5" s="12">
        <f t="shared" si="3"/>
        <v>-2.833333333333333</v>
      </c>
      <c r="P5" s="12">
        <f t="shared" si="4"/>
        <v>1.200593012959196</v>
      </c>
      <c r="Q5" s="13">
        <f t="shared" si="0"/>
        <v>-1.200593012959196</v>
      </c>
    </row>
    <row r="6" spans="1:26" ht="15" x14ac:dyDescent="0.25">
      <c r="A6" s="63" t="s">
        <v>34</v>
      </c>
      <c r="B6" s="64">
        <f>IF(B4=D8,ROUNDUP((-0.045*(B21/2/1000)^3+0.3642*(B21/2/1000)^2+0.0265*(B21/2/1000)+1.9042)*2,2),ROUNDUP((-0.008*(B21/2/1000)^3 + 0.1233*(B21/2/1000)^2 - 0.0051*(B21/2/1000) + 2.8442)*2,2))</f>
        <v>4.09</v>
      </c>
      <c r="F6" s="11"/>
      <c r="G6" s="12">
        <v>17.5</v>
      </c>
      <c r="H6" s="12">
        <v>17</v>
      </c>
      <c r="I6" s="12">
        <f t="shared" si="1"/>
        <v>17.5</v>
      </c>
      <c r="J6" s="13">
        <f t="shared" si="2"/>
        <v>17</v>
      </c>
      <c r="K6" s="3"/>
      <c r="L6" s="11">
        <f>B7/2*-1</f>
        <v>-3.5</v>
      </c>
      <c r="M6" s="12">
        <f>B6/2</f>
        <v>2.0449999999999999</v>
      </c>
      <c r="N6" s="12"/>
      <c r="O6" s="12">
        <f t="shared" si="3"/>
        <v>-2.4999999999999996</v>
      </c>
      <c r="P6" s="12">
        <f t="shared" si="4"/>
        <v>1.4312018639975999</v>
      </c>
      <c r="Q6" s="13">
        <f t="shared" si="0"/>
        <v>-1.4312018639975999</v>
      </c>
    </row>
    <row r="7" spans="1:26" ht="15" x14ac:dyDescent="0.25">
      <c r="A7" s="63" t="s">
        <v>35</v>
      </c>
      <c r="B7" s="64">
        <f>IF(B4=D8,ROUNDUP((-0.1034*(B21/2/1000)^3+0.7783*(B21/2/1000)^2+0.109*(B21/2/1000)+3.1763)*2,2),ROUNDUP((-0.00008*(B21/2/1000)^3 + 0.0184*(B21/2/1000)^2 - 0.00008*(B21/2/1000) + 11.542)*2,2))</f>
        <v>7</v>
      </c>
      <c r="D7" s="1" t="s">
        <v>27</v>
      </c>
      <c r="E7" s="1"/>
      <c r="F7" s="11"/>
      <c r="G7" s="12">
        <v>14.5</v>
      </c>
      <c r="H7" s="12">
        <v>20</v>
      </c>
      <c r="I7" s="12">
        <f t="shared" si="1"/>
        <v>14.5</v>
      </c>
      <c r="J7" s="13">
        <f t="shared" si="2"/>
        <v>20</v>
      </c>
      <c r="K7" s="1"/>
      <c r="L7" s="11">
        <f>B7/2*-1</f>
        <v>-3.5</v>
      </c>
      <c r="M7" s="12">
        <f>B6/2*-1</f>
        <v>-2.0449999999999999</v>
      </c>
      <c r="N7" s="12"/>
      <c r="O7" s="12">
        <f t="shared" si="3"/>
        <v>-2.1666666666666661</v>
      </c>
      <c r="P7" s="12">
        <f t="shared" si="4"/>
        <v>1.6060478103596412</v>
      </c>
      <c r="Q7" s="13">
        <f t="shared" si="0"/>
        <v>-1.6060478103596412</v>
      </c>
    </row>
    <row r="8" spans="1:26" x14ac:dyDescent="0.2">
      <c r="A8" s="11"/>
      <c r="B8" s="13"/>
      <c r="D8" s="3" t="s">
        <v>28</v>
      </c>
      <c r="E8" s="3"/>
      <c r="F8" s="11"/>
      <c r="G8" s="12">
        <v>-14.5</v>
      </c>
      <c r="H8" s="12">
        <v>20</v>
      </c>
      <c r="I8" s="12">
        <f t="shared" si="1"/>
        <v>-14.5</v>
      </c>
      <c r="J8" s="13">
        <f t="shared" si="2"/>
        <v>20</v>
      </c>
      <c r="K8" s="3"/>
      <c r="L8" s="11"/>
      <c r="M8" s="12"/>
      <c r="N8" s="12"/>
      <c r="O8" s="12">
        <f t="shared" si="3"/>
        <v>-1.8333333333333328</v>
      </c>
      <c r="P8" s="12">
        <f t="shared" si="4"/>
        <v>1.7420034338998363</v>
      </c>
      <c r="Q8" s="13">
        <f t="shared" si="0"/>
        <v>-1.7420034338998363</v>
      </c>
    </row>
    <row r="9" spans="1:26" ht="14.25" x14ac:dyDescent="0.2">
      <c r="A9" s="60" t="s">
        <v>86</v>
      </c>
      <c r="B9" s="13"/>
      <c r="D9" s="3" t="s">
        <v>29</v>
      </c>
      <c r="E9" s="3"/>
      <c r="F9" s="11"/>
      <c r="G9" s="12">
        <v>-17.5</v>
      </c>
      <c r="H9" s="12">
        <v>17</v>
      </c>
      <c r="I9" s="12">
        <f t="shared" si="1"/>
        <v>-17.5</v>
      </c>
      <c r="J9" s="13">
        <f t="shared" si="2"/>
        <v>17</v>
      </c>
      <c r="K9" s="3"/>
      <c r="L9" s="55" t="s">
        <v>4</v>
      </c>
      <c r="M9" s="54" t="s">
        <v>38</v>
      </c>
      <c r="N9" s="12"/>
      <c r="O9" s="12">
        <f t="shared" si="3"/>
        <v>-1.4999999999999996</v>
      </c>
      <c r="P9" s="12">
        <f t="shared" si="4"/>
        <v>1.8476736614412388</v>
      </c>
      <c r="Q9" s="13">
        <f t="shared" si="0"/>
        <v>-1.8476736614412388</v>
      </c>
    </row>
    <row r="10" spans="1:26" ht="15" x14ac:dyDescent="0.25">
      <c r="A10" s="43" t="s">
        <v>2</v>
      </c>
      <c r="B10" s="45">
        <v>22</v>
      </c>
      <c r="D10" s="3"/>
      <c r="E10" s="3"/>
      <c r="F10" s="11"/>
      <c r="G10" s="12">
        <v>-17.5</v>
      </c>
      <c r="H10" s="12">
        <v>3</v>
      </c>
      <c r="I10" s="12">
        <f t="shared" si="1"/>
        <v>-17.5</v>
      </c>
      <c r="J10" s="13">
        <f t="shared" si="2"/>
        <v>3</v>
      </c>
      <c r="K10" s="3"/>
      <c r="L10" s="11">
        <f>B12</f>
        <v>8</v>
      </c>
      <c r="M10" s="12">
        <f>5.5/7*B12</f>
        <v>6.2857142857142856</v>
      </c>
      <c r="N10" s="12"/>
      <c r="O10" s="12">
        <f t="shared" si="3"/>
        <v>-1.1666666666666663</v>
      </c>
      <c r="P10" s="12">
        <f t="shared" si="4"/>
        <v>1.9280444900353195</v>
      </c>
      <c r="Q10" s="13">
        <f t="shared" si="0"/>
        <v>-1.9280444900353195</v>
      </c>
    </row>
    <row r="11" spans="1:26" ht="15" x14ac:dyDescent="0.25">
      <c r="A11" s="43" t="s">
        <v>3</v>
      </c>
      <c r="B11" s="45">
        <v>53</v>
      </c>
      <c r="D11" s="1" t="s">
        <v>0</v>
      </c>
      <c r="E11" s="1"/>
      <c r="F11" s="11"/>
      <c r="G11" s="12">
        <v>-14.5</v>
      </c>
      <c r="H11" s="12">
        <v>0</v>
      </c>
      <c r="I11" s="12">
        <f t="shared" si="1"/>
        <v>-14.5</v>
      </c>
      <c r="J11" s="13">
        <f t="shared" si="2"/>
        <v>0</v>
      </c>
      <c r="K11" s="3"/>
      <c r="L11" s="55" t="s">
        <v>39</v>
      </c>
      <c r="M11" s="54" t="s">
        <v>40</v>
      </c>
      <c r="N11" s="12"/>
      <c r="O11" s="12">
        <f t="shared" si="3"/>
        <v>-0.83333333333333304</v>
      </c>
      <c r="P11" s="12">
        <f t="shared" si="4"/>
        <v>1.9861895057709036</v>
      </c>
      <c r="Q11" s="13">
        <f t="shared" si="0"/>
        <v>-1.9861895057709036</v>
      </c>
    </row>
    <row r="12" spans="1:26" ht="15" x14ac:dyDescent="0.25">
      <c r="A12" s="43" t="s">
        <v>4</v>
      </c>
      <c r="B12" s="45">
        <v>8</v>
      </c>
      <c r="D12" s="3" t="s">
        <v>98</v>
      </c>
      <c r="E12" s="3"/>
      <c r="F12" s="11"/>
      <c r="G12" s="40">
        <v>14.5</v>
      </c>
      <c r="H12" s="40">
        <v>0</v>
      </c>
      <c r="I12" s="12">
        <f>G12*$F$4</f>
        <v>14.5</v>
      </c>
      <c r="J12" s="13">
        <f>H12*$F$4</f>
        <v>0</v>
      </c>
      <c r="K12" s="3"/>
      <c r="L12" s="56">
        <v>-12</v>
      </c>
      <c r="M12" s="57">
        <f>B12/2</f>
        <v>4</v>
      </c>
      <c r="N12" s="12"/>
      <c r="O12" s="12">
        <f t="shared" si="3"/>
        <v>-0.49999999999999972</v>
      </c>
      <c r="P12" s="12">
        <f t="shared" si="4"/>
        <v>2.0240250865590594</v>
      </c>
      <c r="Q12" s="13">
        <f t="shared" si="0"/>
        <v>-2.0240250865590594</v>
      </c>
    </row>
    <row r="13" spans="1:26" ht="15" x14ac:dyDescent="0.25">
      <c r="A13" s="43" t="s">
        <v>5</v>
      </c>
      <c r="B13" s="45">
        <v>0</v>
      </c>
      <c r="C13" s="4"/>
      <c r="D13" s="3" t="s">
        <v>99</v>
      </c>
      <c r="E13" s="3"/>
      <c r="F13" s="11"/>
      <c r="G13" s="12"/>
      <c r="H13" s="12"/>
      <c r="I13" s="12"/>
      <c r="J13" s="13"/>
      <c r="L13" s="56">
        <v>12</v>
      </c>
      <c r="M13" s="57">
        <f>B12/2</f>
        <v>4</v>
      </c>
      <c r="N13" s="12"/>
      <c r="O13" s="12">
        <f t="shared" si="3"/>
        <v>-0.16666666666666641</v>
      </c>
      <c r="P13" s="12">
        <f t="shared" si="4"/>
        <v>2.0426800900075808</v>
      </c>
      <c r="Q13" s="13">
        <f t="shared" si="0"/>
        <v>-2.0426800900075808</v>
      </c>
    </row>
    <row r="14" spans="1:26" ht="15" x14ac:dyDescent="0.25">
      <c r="A14" s="43" t="s">
        <v>80</v>
      </c>
      <c r="B14" s="65">
        <f>(1.72*1.32*EXP(-PI()*B12/B10))</f>
        <v>0.72437845073778584</v>
      </c>
      <c r="D14" s="3" t="s">
        <v>100</v>
      </c>
      <c r="E14" s="3"/>
      <c r="F14" s="11"/>
      <c r="G14" s="12"/>
      <c r="H14" s="12"/>
      <c r="I14" s="12"/>
      <c r="J14" s="13"/>
      <c r="K14" s="1"/>
      <c r="L14" s="58" t="s">
        <v>41</v>
      </c>
      <c r="M14" s="59" t="s">
        <v>42</v>
      </c>
      <c r="N14" s="12"/>
      <c r="O14" s="12">
        <f t="shared" si="3"/>
        <v>0.16666666666666691</v>
      </c>
      <c r="P14" s="12">
        <f t="shared" si="4"/>
        <v>2.0426800900075808</v>
      </c>
      <c r="Q14" s="13">
        <f t="shared" si="0"/>
        <v>-2.0426800900075808</v>
      </c>
    </row>
    <row r="15" spans="1:26" ht="15" x14ac:dyDescent="0.25">
      <c r="A15" s="43" t="s">
        <v>81</v>
      </c>
      <c r="B15" s="66">
        <v>0.95499999999999996</v>
      </c>
      <c r="D15" s="3" t="s">
        <v>101</v>
      </c>
      <c r="E15" s="3"/>
      <c r="F15" s="11"/>
      <c r="G15" s="12"/>
      <c r="H15" s="12"/>
      <c r="I15" s="12"/>
      <c r="J15" s="13"/>
      <c r="K15" s="3"/>
      <c r="L15" s="56">
        <v>-12</v>
      </c>
      <c r="M15" s="57">
        <f>-B12/2</f>
        <v>-4</v>
      </c>
      <c r="N15" s="12"/>
      <c r="O15" s="12">
        <f t="shared" si="3"/>
        <v>0.50000000000000022</v>
      </c>
      <c r="P15" s="12">
        <f t="shared" si="4"/>
        <v>2.0240250865590594</v>
      </c>
      <c r="Q15" s="13">
        <f t="shared" si="0"/>
        <v>-2.0240250865590594</v>
      </c>
    </row>
    <row r="16" spans="1:26" ht="15" x14ac:dyDescent="0.25">
      <c r="A16" s="43" t="s">
        <v>82</v>
      </c>
      <c r="B16" s="65">
        <f>B14*B15</f>
        <v>0.69178142045458546</v>
      </c>
      <c r="C16" s="4"/>
      <c r="D16" s="3" t="s">
        <v>97</v>
      </c>
      <c r="E16" s="3"/>
      <c r="F16" s="11"/>
      <c r="G16" s="12"/>
      <c r="H16" s="12"/>
      <c r="I16" s="12"/>
      <c r="J16" s="13"/>
      <c r="L16" s="56">
        <v>12</v>
      </c>
      <c r="M16" s="57">
        <f>-B12/2</f>
        <v>-4</v>
      </c>
      <c r="N16" s="12"/>
      <c r="O16" s="12">
        <f t="shared" si="3"/>
        <v>0.83333333333333348</v>
      </c>
      <c r="P16" s="12">
        <f t="shared" si="4"/>
        <v>1.9861895057709036</v>
      </c>
      <c r="Q16" s="13">
        <f t="shared" si="0"/>
        <v>-1.9861895057709036</v>
      </c>
    </row>
    <row r="17" spans="1:17" ht="15" x14ac:dyDescent="0.2">
      <c r="A17" s="67" t="s">
        <v>56</v>
      </c>
      <c r="B17" s="68">
        <f>((B16*ABS('Electron beam and constants'!B4))/('Electron beam and constants'!B5*'Electron beam and constants'!B6))*((B10/1000)/(2*PI()))</f>
        <v>1.4210599772605019</v>
      </c>
      <c r="F17" s="11"/>
      <c r="G17" s="12"/>
      <c r="H17" s="12"/>
      <c r="I17" s="12"/>
      <c r="J17" s="13"/>
      <c r="L17" s="58"/>
      <c r="M17" s="59"/>
      <c r="N17" s="12"/>
      <c r="O17" s="12">
        <f t="shared" si="3"/>
        <v>1.1666666666666667</v>
      </c>
      <c r="P17" s="12">
        <f t="shared" si="4"/>
        <v>1.9280444900353193</v>
      </c>
      <c r="Q17" s="13">
        <f t="shared" si="0"/>
        <v>-1.9280444900353193</v>
      </c>
    </row>
    <row r="18" spans="1:17" ht="15" x14ac:dyDescent="0.25">
      <c r="A18" s="43" t="s">
        <v>83</v>
      </c>
      <c r="B18" s="47">
        <f>'Electron beam and constants'!E5</f>
        <v>1933.0526504893642</v>
      </c>
      <c r="D18" s="1" t="s">
        <v>1</v>
      </c>
      <c r="E18" s="1"/>
      <c r="F18" s="11"/>
      <c r="G18" s="12"/>
      <c r="H18" s="12"/>
      <c r="I18" s="12"/>
      <c r="J18" s="13"/>
      <c r="L18" s="56"/>
      <c r="M18" s="57"/>
      <c r="N18" s="12"/>
      <c r="O18" s="12">
        <f t="shared" si="3"/>
        <v>1.5</v>
      </c>
      <c r="P18" s="12">
        <f t="shared" si="4"/>
        <v>1.8476736614412386</v>
      </c>
      <c r="Q18" s="13">
        <f t="shared" si="0"/>
        <v>-1.8476736614412386</v>
      </c>
    </row>
    <row r="19" spans="1:17" ht="15" x14ac:dyDescent="0.25">
      <c r="A19" s="43" t="s">
        <v>105</v>
      </c>
      <c r="B19" s="49">
        <f>'Electron beam and constants'!B34</f>
        <v>1112.2780381976368</v>
      </c>
      <c r="D19" s="3" t="s">
        <v>95</v>
      </c>
      <c r="E19" s="3"/>
      <c r="F19" s="11"/>
      <c r="G19" s="12"/>
      <c r="H19" s="12"/>
      <c r="I19" s="12"/>
      <c r="J19" s="13"/>
      <c r="L19" s="56"/>
      <c r="M19" s="57"/>
      <c r="N19" s="12"/>
      <c r="O19" s="12">
        <f t="shared" si="3"/>
        <v>1.8333333333333333</v>
      </c>
      <c r="P19" s="12">
        <f t="shared" si="4"/>
        <v>1.742003433899836</v>
      </c>
      <c r="Q19" s="13">
        <f t="shared" si="0"/>
        <v>-1.742003433899836</v>
      </c>
    </row>
    <row r="20" spans="1:17" ht="15" x14ac:dyDescent="0.25">
      <c r="A20" s="53" t="s">
        <v>77</v>
      </c>
      <c r="B20" s="49">
        <f>'Electron beam and constants'!B35</f>
        <v>0.64139068505733576</v>
      </c>
      <c r="C20" s="2"/>
      <c r="D20" s="3" t="s">
        <v>96</v>
      </c>
      <c r="E20" s="3"/>
      <c r="F20" s="83"/>
      <c r="G20" s="70"/>
      <c r="H20" s="70"/>
      <c r="I20" s="70"/>
      <c r="J20" s="84"/>
      <c r="K20" s="3"/>
      <c r="L20" s="58"/>
      <c r="M20" s="59"/>
      <c r="N20" s="12"/>
      <c r="O20" s="12">
        <f t="shared" si="3"/>
        <v>2.1666666666666665</v>
      </c>
      <c r="P20" s="12">
        <f t="shared" si="4"/>
        <v>1.6060478103596412</v>
      </c>
      <c r="Q20" s="13">
        <f t="shared" si="0"/>
        <v>-1.6060478103596412</v>
      </c>
    </row>
    <row r="21" spans="1:17" ht="15" x14ac:dyDescent="0.25">
      <c r="A21" s="43" t="s">
        <v>33</v>
      </c>
      <c r="B21" s="64">
        <f>IF(B34="Yes",(11/8)*B10+B11*B10 + B13,B11*B10 - B13)</f>
        <v>1196.25</v>
      </c>
      <c r="C21" s="2"/>
      <c r="D21" s="3" t="s">
        <v>108</v>
      </c>
      <c r="F21" s="11"/>
      <c r="G21" s="12"/>
      <c r="H21" s="12"/>
      <c r="I21" s="12"/>
      <c r="J21" s="13"/>
      <c r="L21" s="56"/>
      <c r="M21" s="57"/>
      <c r="N21" s="12"/>
      <c r="O21" s="12">
        <f t="shared" si="3"/>
        <v>2.5</v>
      </c>
      <c r="P21" s="12">
        <f t="shared" si="4"/>
        <v>1.4312018639975996</v>
      </c>
      <c r="Q21" s="13">
        <f t="shared" si="0"/>
        <v>-1.4312018639975996</v>
      </c>
    </row>
    <row r="22" spans="1:17" ht="15" x14ac:dyDescent="0.25">
      <c r="A22" s="11"/>
      <c r="B22" s="13"/>
      <c r="C22" s="2"/>
      <c r="D22" s="3" t="s">
        <v>13</v>
      </c>
      <c r="F22" s="11"/>
      <c r="G22" s="12"/>
      <c r="H22" s="12"/>
      <c r="I22" s="12"/>
      <c r="J22" s="13"/>
      <c r="L22" s="56"/>
      <c r="M22" s="57"/>
      <c r="N22" s="12"/>
      <c r="O22" s="12">
        <f t="shared" si="3"/>
        <v>2.8333333333333335</v>
      </c>
      <c r="P22" s="12">
        <f t="shared" si="4"/>
        <v>1.2005930129591955</v>
      </c>
      <c r="Q22" s="13">
        <f t="shared" si="0"/>
        <v>-1.2005930129591955</v>
      </c>
    </row>
    <row r="23" spans="1:17" ht="15" x14ac:dyDescent="0.25">
      <c r="A23" s="60" t="s">
        <v>93</v>
      </c>
      <c r="B23" s="13"/>
      <c r="C23" s="2"/>
      <c r="F23" s="11"/>
      <c r="G23" s="12"/>
      <c r="H23" s="12"/>
      <c r="I23" s="12"/>
      <c r="J23" s="13"/>
      <c r="L23" s="11"/>
      <c r="M23" s="12"/>
      <c r="N23" s="12"/>
      <c r="O23" s="12">
        <f t="shared" si="3"/>
        <v>3.166666666666667</v>
      </c>
      <c r="P23" s="12">
        <f t="shared" si="4"/>
        <v>0.87100171694991757</v>
      </c>
      <c r="Q23" s="13">
        <f t="shared" si="0"/>
        <v>-0.87100171694991757</v>
      </c>
    </row>
    <row r="24" spans="1:17" ht="15.75" thickBot="1" x14ac:dyDescent="0.3">
      <c r="A24" s="43" t="s">
        <v>10</v>
      </c>
      <c r="B24" s="61" t="s">
        <v>100</v>
      </c>
      <c r="C24" s="2"/>
      <c r="F24" s="85"/>
      <c r="G24" s="86"/>
      <c r="H24" s="86"/>
      <c r="I24" s="86"/>
      <c r="J24" s="87"/>
      <c r="K24" s="3"/>
      <c r="L24" s="17"/>
      <c r="M24" s="18"/>
      <c r="N24" s="18"/>
      <c r="O24" s="18">
        <f t="shared" si="3"/>
        <v>3.5000000000000004</v>
      </c>
      <c r="P24" s="18" t="e">
        <f t="shared" si="4"/>
        <v>#NUM!</v>
      </c>
      <c r="Q24" s="19" t="e">
        <f t="shared" si="0"/>
        <v>#NUM!</v>
      </c>
    </row>
    <row r="25" spans="1:17" ht="15" x14ac:dyDescent="0.25">
      <c r="A25" s="43" t="s">
        <v>11</v>
      </c>
      <c r="B25" s="61" t="s">
        <v>108</v>
      </c>
      <c r="C25" s="2"/>
    </row>
    <row r="26" spans="1:17" ht="15" x14ac:dyDescent="0.25">
      <c r="A26" s="43" t="s">
        <v>12</v>
      </c>
      <c r="B26" s="45">
        <v>5</v>
      </c>
      <c r="C26" s="2"/>
    </row>
    <row r="27" spans="1:17" ht="15" x14ac:dyDescent="0.25">
      <c r="A27" s="43" t="s">
        <v>6</v>
      </c>
      <c r="B27" s="45">
        <v>150</v>
      </c>
    </row>
    <row r="28" spans="1:17" ht="15" x14ac:dyDescent="0.25">
      <c r="A28" s="43" t="s">
        <v>7</v>
      </c>
      <c r="B28" s="45">
        <v>2000</v>
      </c>
      <c r="O28" s="4"/>
    </row>
    <row r="29" spans="1:17" ht="15" x14ac:dyDescent="0.25">
      <c r="A29" s="43" t="s">
        <v>15</v>
      </c>
      <c r="B29" s="45">
        <v>30</v>
      </c>
      <c r="D29" s="4"/>
      <c r="O29" s="4"/>
    </row>
    <row r="30" spans="1:17" ht="15" x14ac:dyDescent="0.25">
      <c r="A30" s="43" t="s">
        <v>16</v>
      </c>
      <c r="B30" s="45">
        <v>1</v>
      </c>
    </row>
    <row r="31" spans="1:17" ht="15" x14ac:dyDescent="0.25">
      <c r="A31" s="43" t="s">
        <v>8</v>
      </c>
      <c r="B31" s="45">
        <v>2000</v>
      </c>
    </row>
    <row r="32" spans="1:17" ht="15" x14ac:dyDescent="0.25">
      <c r="A32" s="43" t="s">
        <v>9</v>
      </c>
      <c r="B32" s="45">
        <v>1</v>
      </c>
    </row>
    <row r="33" spans="1:2" ht="15" x14ac:dyDescent="0.25">
      <c r="A33" s="43" t="s">
        <v>14</v>
      </c>
      <c r="B33" s="45">
        <v>2</v>
      </c>
    </row>
    <row r="34" spans="1:2" ht="15" x14ac:dyDescent="0.25">
      <c r="A34" s="43" t="s">
        <v>89</v>
      </c>
      <c r="B34" s="69" t="s">
        <v>102</v>
      </c>
    </row>
    <row r="35" spans="1:2" x14ac:dyDescent="0.2">
      <c r="A35" s="11"/>
      <c r="B35" s="13"/>
    </row>
    <row r="36" spans="1:2" x14ac:dyDescent="0.2">
      <c r="A36" s="11"/>
      <c r="B36" s="13"/>
    </row>
    <row r="37" spans="1:2" x14ac:dyDescent="0.2">
      <c r="A37" s="11"/>
      <c r="B37" s="13"/>
    </row>
    <row r="38" spans="1:2" ht="13.5" thickBot="1" x14ac:dyDescent="0.25">
      <c r="A38" s="17"/>
      <c r="B38" s="19"/>
    </row>
    <row r="39" spans="1:2" x14ac:dyDescent="0.2">
      <c r="A39" s="12"/>
      <c r="B39" s="12"/>
    </row>
    <row r="40" spans="1:2" x14ac:dyDescent="0.2">
      <c r="A40" s="12"/>
      <c r="B40" s="12"/>
    </row>
    <row r="41" spans="1:2" x14ac:dyDescent="0.2">
      <c r="A41" s="12"/>
      <c r="B41" s="12"/>
    </row>
    <row r="42" spans="1:2" x14ac:dyDescent="0.2">
      <c r="A42" s="12"/>
      <c r="B42" s="12"/>
    </row>
  </sheetData>
  <mergeCells count="5">
    <mergeCell ref="A1:B1"/>
    <mergeCell ref="F1:J1"/>
    <mergeCell ref="G2:H2"/>
    <mergeCell ref="I2:J2"/>
    <mergeCell ref="L1:Q1"/>
  </mergeCells>
  <phoneticPr fontId="3" type="noConversion"/>
  <dataValidations count="3">
    <dataValidation type="list" allowBlank="1" showInputMessage="1" showErrorMessage="1" sqref="B24" xr:uid="{00000000-0002-0000-0000-000000000000}">
      <formula1>$D$12:$D$16</formula1>
    </dataValidation>
    <dataValidation type="list" allowBlank="1" showInputMessage="1" showErrorMessage="1" sqref="B4" xr:uid="{56BEB450-02DD-4DB9-9F8E-EECB8F3FBD54}">
      <formula1>$D$8:$D$9</formula1>
    </dataValidation>
    <dataValidation type="list" allowBlank="1" showInputMessage="1" showErrorMessage="1" sqref="B25" xr:uid="{00000000-0002-0000-0000-000001000000}">
      <formula1>$D$19:$D$25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0</xdr:col>
                    <xdr:colOff>704850</xdr:colOff>
                    <xdr:row>34</xdr:row>
                    <xdr:rowOff>95250</xdr:rowOff>
                  </from>
                  <to>
                    <xdr:col>1</xdr:col>
                    <xdr:colOff>1057275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C1AF-04D6-4888-A96E-8A167715744A}">
  <sheetPr codeName="Planilha3"/>
  <dimension ref="A1:B5"/>
  <sheetViews>
    <sheetView workbookViewId="0">
      <selection activeCell="E40" sqref="E40"/>
    </sheetView>
  </sheetViews>
  <sheetFormatPr defaultRowHeight="12.75" x14ac:dyDescent="0.2"/>
  <cols>
    <col min="1" max="1" width="12.5703125" customWidth="1"/>
    <col min="2" max="2" width="41.28515625" customWidth="1"/>
  </cols>
  <sheetData>
    <row r="1" spans="1:2" x14ac:dyDescent="0.2">
      <c r="A1" s="77" t="s">
        <v>91</v>
      </c>
      <c r="B1" s="77"/>
    </row>
    <row r="2" spans="1:2" x14ac:dyDescent="0.2">
      <c r="A2" s="37">
        <v>43783</v>
      </c>
      <c r="B2" s="4" t="s">
        <v>92</v>
      </c>
    </row>
    <row r="3" spans="1:2" x14ac:dyDescent="0.2">
      <c r="A3" s="37">
        <v>43789</v>
      </c>
      <c r="B3" t="s">
        <v>103</v>
      </c>
    </row>
    <row r="4" spans="1:2" x14ac:dyDescent="0.2">
      <c r="A4" s="37">
        <v>43809</v>
      </c>
      <c r="B4" s="4" t="s">
        <v>104</v>
      </c>
    </row>
    <row r="5" spans="1:2" x14ac:dyDescent="0.2">
      <c r="A5" s="37">
        <v>43934</v>
      </c>
      <c r="B5" s="4" t="s">
        <v>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Beam Stay Clear</vt:lpstr>
      <vt:lpstr>Electron beam and constants</vt:lpstr>
      <vt:lpstr>Create Undulator Magnet</vt:lpstr>
      <vt:lpstr>Updates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2020-04-13T20:15:06Z</dcterms:modified>
</cp:coreProperties>
</file>