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"/>
    </mc:Choice>
  </mc:AlternateContent>
  <xr:revisionPtr revIDLastSave="0" documentId="13_ncr:1_{5B7DBE41-DA52-415C-ACF4-297AE952F76D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H18" i="1" l="1"/>
  <c r="J18" i="1" s="1"/>
  <c r="G18" i="1"/>
  <c r="I18" i="1" s="1"/>
  <c r="H17" i="1"/>
  <c r="J17" i="1" s="1"/>
  <c r="G17" i="1"/>
  <c r="I17" i="1" s="1"/>
  <c r="H16" i="1"/>
  <c r="G16" i="1"/>
  <c r="H15" i="1"/>
  <c r="H14" i="1"/>
  <c r="H13" i="1"/>
  <c r="H12" i="1"/>
  <c r="H11" i="1"/>
  <c r="G11" i="1"/>
  <c r="G6" i="1"/>
  <c r="G15" i="1" s="1"/>
  <c r="K11" i="8"/>
  <c r="K10" i="8"/>
  <c r="J10" i="8"/>
  <c r="K17" i="8"/>
  <c r="J17" i="8"/>
  <c r="K16" i="8"/>
  <c r="J16" i="8"/>
  <c r="K15" i="8"/>
  <c r="J15" i="8"/>
  <c r="K14" i="8"/>
  <c r="K13" i="8"/>
  <c r="K12" i="8"/>
  <c r="J5" i="8"/>
  <c r="J6" i="8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J14" i="8"/>
  <c r="G11" i="8"/>
  <c r="G12" i="8"/>
  <c r="G7" i="1"/>
  <c r="J13" i="8"/>
  <c r="J7" i="8"/>
  <c r="B19" i="7"/>
  <c r="G14" i="1" l="1"/>
  <c r="G8" i="1"/>
  <c r="J12" i="8"/>
  <c r="J8" i="8"/>
  <c r="J11" i="8" s="1"/>
  <c r="B31" i="7"/>
  <c r="G13" i="1" l="1"/>
  <c r="G9" i="1"/>
  <c r="G12" i="1" s="1"/>
  <c r="B14" i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4" i="7" l="1"/>
  <c r="B19" i="1" s="1"/>
  <c r="I8" i="1"/>
  <c r="I9" i="1"/>
  <c r="H5" i="7" l="1"/>
  <c r="B35" i="7"/>
  <c r="B20" i="1" s="1"/>
  <c r="E10" i="7"/>
  <c r="E6" i="7"/>
  <c r="E11" i="7"/>
  <c r="E7" i="7"/>
  <c r="E12" i="7"/>
  <c r="E8" i="7"/>
  <c r="E5" i="7"/>
  <c r="B18" i="1" s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<sst xmlns="http://schemas.openxmlformats.org/spreadsheetml/2006/main" count="163" uniqueCount="115">
  <si>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</si>
  <si>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</si>
  <si>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</si>
  <si>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</si>
  <si>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</si>
  <si>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</si>
  <si>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</si>
  <si>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</si>
  <si>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</si>
  <si>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</si>
  <si>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</si>
  <si>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</si>
  <si>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</si>
  <si>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</si>
  <si>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</si>
  <si>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</si>
  <si>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</si>
  <si>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</si>
  <si>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</si>
  <si>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</si>
  <si>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</si>
  <si>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</si>
  <si>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</si>
  <si>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</si>
  <si>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</si>
  <si>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</si>
  <si>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</si>
  <si>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</si>
  <si>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</si>
  <si>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</si>
  <si>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</si>
  <si>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</si>
  <si>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</si>
  <si>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</si>
  <si>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</si>
  <si>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</si>
  <si>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</si>
  <si>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</si>
  <si>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</si>
  <si>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</si>
  <si>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</si>
  <si>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</si>
  <si>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</si>
  <si>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</si>
  <si>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</si>
  <si>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</si>
  <si>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</si>
  <si>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</si>
  <si>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</si>
  <si>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</si>
  <si>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</si>
  <si>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</si>
  <si>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</si>
  <si>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</si>
  <si>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</si>
  <si>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</si>
  <si>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</si>
  <si>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</si>
  <si>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</si>
  <si>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</si>
  <si>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</si>
  <si>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</si>
  <si>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</si>
  <si>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</si>
  <si>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</si>
  <si>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</si>
  <si>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</si>
  <si>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</si>
  <si>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</si>
  <si>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</si>
  <si>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</si>
  <si>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</si>
  <si>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</si>
  <si>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</si>
  <si>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</si>
  <si>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</si>
  <si>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</si>
  <si>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</si>
  <si>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</si>
  <si>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</si>
  <si>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</si>
  <si>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</si>
  <si>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Power [kW]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</si>
  <si>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</si>
  <si>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</si>
  <si>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</si>
  <si>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</si>
  <si>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</si>
  <si>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</si>
  <si>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</si>
  <si>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</si>
  <si>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</si>
  <si>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</si>
  <si>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</si>
  <si>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</si>
  <si>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</si>
  <si>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</si>
  <si>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</si>
  <si>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</si>
  <si>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</si>
  <si>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Delta V3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</si>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</sst>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0BD-B5E7-1873915C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48432546047226.344</c:v>
                </c:pt>
                <c:pt idx="1">
                  <c:v>48406810214952.141</c:v>
                </c:pt>
                <c:pt idx="2">
                  <c:v>48373860721529.016</c:v>
                </c:pt>
                <c:pt idx="3">
                  <c:v>48331171950549.328</c:v>
                </c:pt>
                <c:pt idx="4">
                  <c:v>48275145447332.945</c:v>
                </c:pt>
                <c:pt idx="5">
                  <c:v>48200569490717.766</c:v>
                </c:pt>
                <c:pt idx="6">
                  <c:v>48099762281193.969</c:v>
                </c:pt>
                <c:pt idx="7">
                  <c:v>47961187937192.375</c:v>
                </c:pt>
                <c:pt idx="8">
                  <c:v>47767178821436.594</c:v>
                </c:pt>
                <c:pt idx="9">
                  <c:v>47490120086204.953</c:v>
                </c:pt>
                <c:pt idx="10">
                  <c:v>47085960917735.523</c:v>
                </c:pt>
                <c:pt idx="11">
                  <c:v>46483076561967.75</c:v>
                </c:pt>
                <c:pt idx="12">
                  <c:v>45563204715121.047</c:v>
                </c:pt>
                <c:pt idx="13">
                  <c:v>44129738086222.078</c:v>
                </c:pt>
                <c:pt idx="14">
                  <c:v>41859490454342.203</c:v>
                </c:pt>
                <c:pt idx="15">
                  <c:v>38247185523876.219</c:v>
                </c:pt>
                <c:pt idx="16">
                  <c:v>32607632885339.934</c:v>
                </c:pt>
                <c:pt idx="17">
                  <c:v>24350654158287.941</c:v>
                </c:pt>
                <c:pt idx="18">
                  <c:v>13909773114477.473</c:v>
                </c:pt>
                <c:pt idx="19">
                  <c:v>4153406905217.7173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31579325952880.414</c:v>
                </c:pt>
                <c:pt idx="1">
                  <c:v>31509859752334.074</c:v>
                </c:pt>
                <c:pt idx="2">
                  <c:v>31421392473210.461</c:v>
                </c:pt>
                <c:pt idx="3">
                  <c:v>31307500229862.605</c:v>
                </c:pt>
                <c:pt idx="4">
                  <c:v>31159165292793.223</c:v>
                </c:pt>
                <c:pt idx="5">
                  <c:v>30963564481233.902</c:v>
                </c:pt>
                <c:pt idx="6">
                  <c:v>30702227123594.094</c:v>
                </c:pt>
                <c:pt idx="7">
                  <c:v>30348218974140.297</c:v>
                </c:pt>
                <c:pt idx="8">
                  <c:v>29861840601784.184</c:v>
                </c:pt>
                <c:pt idx="9">
                  <c:v>29184140950144.801</c:v>
                </c:pt>
                <c:pt idx="10">
                  <c:v>28227494436284.809</c:v>
                </c:pt>
                <c:pt idx="11">
                  <c:v>26863135769753.641</c:v>
                </c:pt>
                <c:pt idx="12">
                  <c:v>24908599475533.645</c:v>
                </c:pt>
                <c:pt idx="13">
                  <c:v>22127901418008.207</c:v>
                </c:pt>
                <c:pt idx="14">
                  <c:v>18282581119187.645</c:v>
                </c:pt>
                <c:pt idx="15">
                  <c:v>13315278700656.143</c:v>
                </c:pt>
                <c:pt idx="16">
                  <c:v>7740520524416.7861</c:v>
                </c:pt>
                <c:pt idx="17">
                  <c:v>2969626171978.54</c:v>
                </c:pt>
                <c:pt idx="18">
                  <c:v>504976770266.58612</c:v>
                </c:pt>
                <c:pt idx="19">
                  <c:v>12435711976.009226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25843453059169.164</c:v>
                </c:pt>
                <c:pt idx="1">
                  <c:v>25733506070144.625</c:v>
                </c:pt>
                <c:pt idx="2">
                  <c:v>25594139359740.77</c:v>
                </c:pt>
                <c:pt idx="3">
                  <c:v>25415730679237.531</c:v>
                </c:pt>
                <c:pt idx="4">
                  <c:v>25184966571927.941</c:v>
                </c:pt>
                <c:pt idx="5">
                  <c:v>24883256747882.324</c:v>
                </c:pt>
                <c:pt idx="6">
                  <c:v>24484440402426.801</c:v>
                </c:pt>
                <c:pt idx="7">
                  <c:v>23951515728869.574</c:v>
                </c:pt>
                <c:pt idx="8">
                  <c:v>23232136566587.691</c:v>
                </c:pt>
                <c:pt idx="9">
                  <c:v>22252886445882.43</c:v>
                </c:pt>
                <c:pt idx="10">
                  <c:v>20913361103011.68</c:v>
                </c:pt>
                <c:pt idx="11">
                  <c:v>19084095648699.277</c:v>
                </c:pt>
                <c:pt idx="12">
                  <c:v>16619548910323.994</c:v>
                </c:pt>
                <c:pt idx="13">
                  <c:v>13412500944437.41</c:v>
                </c:pt>
                <c:pt idx="14">
                  <c:v>9530755630747.0273</c:v>
                </c:pt>
                <c:pt idx="15">
                  <c:v>5443142061747.3262</c:v>
                </c:pt>
                <c:pt idx="16">
                  <c:v>2114642828448.2825</c:v>
                </c:pt>
                <c:pt idx="17">
                  <c:v>407321808662.99323</c:v>
                </c:pt>
                <c:pt idx="18">
                  <c:v>20148435276.643303</c:v>
                </c:pt>
                <c:pt idx="19">
                  <c:v>40185509.537621386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22601131563751.25</c:v>
                </c:pt>
                <c:pt idx="1">
                  <c:v>22453328225128.555</c:v>
                </c:pt>
                <c:pt idx="2">
                  <c:v>22266812670255.227</c:v>
                </c:pt>
                <c:pt idx="3">
                  <c:v>22029340180698.238</c:v>
                </c:pt>
                <c:pt idx="4">
                  <c:v>21724219333756.203</c:v>
                </c:pt>
                <c:pt idx="5">
                  <c:v>21328581628989.801</c:v>
                </c:pt>
                <c:pt idx="6">
                  <c:v>20811033042157.848</c:v>
                </c:pt>
                <c:pt idx="7">
                  <c:v>20128619010469.391</c:v>
                </c:pt>
                <c:pt idx="8">
                  <c:v>19223308488836.598</c:v>
                </c:pt>
                <c:pt idx="9">
                  <c:v>18019032395469.445</c:v>
                </c:pt>
                <c:pt idx="10">
                  <c:v>16422178353880.434</c:v>
                </c:pt>
                <c:pt idx="11">
                  <c:v>14333453268260.094</c:v>
                </c:pt>
                <c:pt idx="12">
                  <c:v>11686042925856.533</c:v>
                </c:pt>
                <c:pt idx="13">
                  <c:v>8533352237089.251</c:v>
                </c:pt>
                <c:pt idx="14">
                  <c:v>5189556521088.2324</c:v>
                </c:pt>
                <c:pt idx="15">
                  <c:v>2310744305856.7383</c:v>
                </c:pt>
                <c:pt idx="16">
                  <c:v>596068822733.06189</c:v>
                </c:pt>
                <c:pt idx="17">
                  <c:v>57259242321.844017</c:v>
                </c:pt>
                <c:pt idx="18">
                  <c:v>818791192.37124622</c:v>
                </c:pt>
                <c:pt idx="19">
                  <c:v>131645.71861660812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20396820431146.328</c:v>
                </c:pt>
                <c:pt idx="1">
                  <c:v>20213511559204.691</c:v>
                </c:pt>
                <c:pt idx="2">
                  <c:v>19983201269538.137</c:v>
                </c:pt>
                <c:pt idx="3">
                  <c:v>19691526186057.438</c:v>
                </c:pt>
                <c:pt idx="4">
                  <c:v>19319209245453.926</c:v>
                </c:pt>
                <c:pt idx="5">
                  <c:v>18840365935847.023</c:v>
                </c:pt>
                <c:pt idx="6">
                  <c:v>18220399874580.621</c:v>
                </c:pt>
                <c:pt idx="7">
                  <c:v>17413686553795.768</c:v>
                </c:pt>
                <c:pt idx="8">
                  <c:v>16361781896764.826</c:v>
                </c:pt>
                <c:pt idx="9">
                  <c:v>14994174587744.854</c:v>
                </c:pt>
                <c:pt idx="10">
                  <c:v>13236218860170.279</c:v>
                </c:pt>
                <c:pt idx="11">
                  <c:v>11033474985643.943</c:v>
                </c:pt>
                <c:pt idx="12">
                  <c:v>8406372533551.3818</c:v>
                </c:pt>
                <c:pt idx="13">
                  <c:v>5542119311057.5029</c:v>
                </c:pt>
                <c:pt idx="14">
                  <c:v>2877250660183.6069</c:v>
                </c:pt>
                <c:pt idx="15">
                  <c:v>996021677989.96326</c:v>
                </c:pt>
                <c:pt idx="16">
                  <c:v>170087279027.99731</c:v>
                </c:pt>
                <c:pt idx="17">
                  <c:v>8124455394.1267586</c:v>
                </c:pt>
                <c:pt idx="18">
                  <c:v>33497789.750473518</c:v>
                </c:pt>
                <c:pt idx="19">
                  <c:v>433.34674735273239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18745704222425.262</c:v>
                </c:pt>
                <c:pt idx="1">
                  <c:v>18529054406905.484</c:v>
                </c:pt>
                <c:pt idx="2">
                  <c:v>18258027220470.965</c:v>
                </c:pt>
                <c:pt idx="3">
                  <c:v>17916588264297.895</c:v>
                </c:pt>
                <c:pt idx="4">
                  <c:v>17483567802849.82</c:v>
                </c:pt>
                <c:pt idx="5">
                  <c:v>16931146415697.973</c:v>
                </c:pt>
                <c:pt idx="6">
                  <c:v>16223212152917.156</c:v>
                </c:pt>
                <c:pt idx="7">
                  <c:v>15314084939064.623</c:v>
                </c:pt>
                <c:pt idx="8">
                  <c:v>14148853647963.748</c:v>
                </c:pt>
                <c:pt idx="9">
                  <c:v>12668150868582.084</c:v>
                </c:pt>
                <c:pt idx="10">
                  <c:v>10822895534806.344</c:v>
                </c:pt>
                <c:pt idx="11">
                  <c:v>8607828084577.8633</c:v>
                </c:pt>
                <c:pt idx="12">
                  <c:v>6121570789471.2861</c:v>
                </c:pt>
                <c:pt idx="13">
                  <c:v>3638795094775.2456</c:v>
                </c:pt>
                <c:pt idx="14">
                  <c:v>1610244572581.5774</c:v>
                </c:pt>
                <c:pt idx="15">
                  <c:v>432659131016.10626</c:v>
                </c:pt>
                <c:pt idx="16">
                  <c:v>48830550794.93013</c:v>
                </c:pt>
                <c:pt idx="17">
                  <c:v>1158007306.4762259</c:v>
                </c:pt>
                <c:pt idx="18">
                  <c:v>1374825.0443532779</c:v>
                </c:pt>
                <c:pt idx="19">
                  <c:v>1.429682557660197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17432961550133.51</c:v>
                </c:pt>
                <c:pt idx="1">
                  <c:v>17184990356976.375</c:v>
                </c:pt>
                <c:pt idx="2">
                  <c:v>16876105322384.113</c:v>
                </c:pt>
                <c:pt idx="3">
                  <c:v>16489001089852.191</c:v>
                </c:pt>
                <c:pt idx="4">
                  <c:v>16001222764628.428</c:v>
                </c:pt>
                <c:pt idx="5">
                  <c:v>15383942821246.688</c:v>
                </c:pt>
                <c:pt idx="6">
                  <c:v>14600933894503.914</c:v>
                </c:pt>
                <c:pt idx="7">
                  <c:v>13608521109080.027</c:v>
                </c:pt>
                <c:pt idx="8">
                  <c:v>12358195230615.068</c:v>
                </c:pt>
                <c:pt idx="9">
                  <c:v>10805227803779.389</c:v>
                </c:pt>
                <c:pt idx="10">
                  <c:v>8928896172567.9141</c:v>
                </c:pt>
                <c:pt idx="11">
                  <c:v>6770923125388.1436</c:v>
                </c:pt>
                <c:pt idx="12">
                  <c:v>4490970657883.7686</c:v>
                </c:pt>
                <c:pt idx="13">
                  <c:v>2404735734339.1001</c:v>
                </c:pt>
                <c:pt idx="14">
                  <c:v>906157633602.55762</c:v>
                </c:pt>
                <c:pt idx="15">
                  <c:v>188787559958.73288</c:v>
                </c:pt>
                <c:pt idx="16">
                  <c:v>14067681868.225801</c:v>
                </c:pt>
                <c:pt idx="17">
                  <c:v>165476576.20699486</c:v>
                </c:pt>
                <c:pt idx="18">
                  <c:v>56526.103268945881</c:v>
                </c:pt>
                <c:pt idx="19">
                  <c:v>4.7225518515859226E-3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16346423252980.426</c:v>
                </c:pt>
                <c:pt idx="1">
                  <c:v>16069028269669.318</c:v>
                </c:pt>
                <c:pt idx="2">
                  <c:v>15724958635548.734</c:v>
                </c:pt>
                <c:pt idx="3">
                  <c:v>15295996627501.74</c:v>
                </c:pt>
                <c:pt idx="4">
                  <c:v>14758938149168.852</c:v>
                </c:pt>
                <c:pt idx="5">
                  <c:v>14084736733710.186</c:v>
                </c:pt>
                <c:pt idx="6">
                  <c:v>13238199881664.018</c:v>
                </c:pt>
                <c:pt idx="7">
                  <c:v>12179254460004.246</c:v>
                </c:pt>
                <c:pt idx="8">
                  <c:v>10867793268026.107</c:v>
                </c:pt>
                <c:pt idx="9">
                  <c:v>9275633597393.4023</c:v>
                </c:pt>
                <c:pt idx="10">
                  <c:v>7410513292242.6777</c:v>
                </c:pt>
                <c:pt idx="11">
                  <c:v>5355187274614.9775</c:v>
                </c:pt>
                <c:pt idx="12">
                  <c:v>3310821726127.8208</c:v>
                </c:pt>
                <c:pt idx="13">
                  <c:v>1595932860709.0276</c:v>
                </c:pt>
                <c:pt idx="14">
                  <c:v>511746212386.9151</c:v>
                </c:pt>
                <c:pt idx="15">
                  <c:v>82610850373.38385</c:v>
                </c:pt>
                <c:pt idx="16">
                  <c:v>4061623233.8671618</c:v>
                </c:pt>
                <c:pt idx="17">
                  <c:v>23683607.739470307</c:v>
                </c:pt>
                <c:pt idx="18">
                  <c:v>2326.6044310038005</c:v>
                </c:pt>
                <c:pt idx="19">
                  <c:v>1.5611219791668268E-5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8.2618548547060144E+16</c:v>
                </c:pt>
                <c:pt idx="1">
                  <c:v>9.3392447067443232E+16</c:v>
                </c:pt>
                <c:pt idx="2">
                  <c:v>1.0603500763063538E+17</c:v>
                </c:pt>
                <c:pt idx="3">
                  <c:v>1.2095241483789157E+17</c:v>
                </c:pt>
                <c:pt idx="4">
                  <c:v>1.3865614375187546E+17</c:v>
                </c:pt>
                <c:pt idx="5">
                  <c:v>1.5979335608205187E+17</c:v>
                </c:pt>
                <c:pt idx="6">
                  <c:v>1.8518553996311488E+17</c:v>
                </c:pt>
                <c:pt idx="7">
                  <c:v>2.1587574754558246E+17</c:v>
                </c:pt>
                <c:pt idx="8">
                  <c:v>2.5318146841365184E+17</c:v>
                </c:pt>
                <c:pt idx="9">
                  <c:v>2.9874100244591891E+17</c:v>
                </c:pt>
                <c:pt idx="10">
                  <c:v>3.5451776173192819E+17</c:v>
                </c:pt>
                <c:pt idx="11">
                  <c:v>4.2266965324828416E+17</c:v>
                </c:pt>
                <c:pt idx="12">
                  <c:v>5.0505608153202054E+17</c:v>
                </c:pt>
                <c:pt idx="13">
                  <c:v>6.0185774992103053E+17</c:v>
                </c:pt>
                <c:pt idx="14">
                  <c:v>7.0821348851496282E+17</c:v>
                </c:pt>
                <c:pt idx="15">
                  <c:v>8.0708618350214682E+17</c:v>
                </c:pt>
                <c:pt idx="16">
                  <c:v>8.5763482983657856E+17</c:v>
                </c:pt>
                <c:pt idx="17">
                  <c:v>7.8878731863952768E+17</c:v>
                </c:pt>
                <c:pt idx="18">
                  <c:v>5.3832843844149664E+17</c:v>
                </c:pt>
                <c:pt idx="19">
                  <c:v>1.8177150665225296E+17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2.0307261673037533E+17</c:v>
                </c:pt>
                <c:pt idx="1">
                  <c:v>2.2622775006743066E+17</c:v>
                </c:pt>
                <c:pt idx="2">
                  <c:v>2.5293712788894662E+17</c:v>
                </c:pt>
                <c:pt idx="3">
                  <c:v>2.8387331455500266E+17</c:v>
                </c:pt>
                <c:pt idx="4">
                  <c:v>3.1984384016315437E+17</c:v>
                </c:pt>
                <c:pt idx="5">
                  <c:v>3.6180583936268902E+17</c:v>
                </c:pt>
                <c:pt idx="6">
                  <c:v>4.1086463699298496E+17</c:v>
                </c:pt>
                <c:pt idx="7">
                  <c:v>4.6823150150510579E+17</c:v>
                </c:pt>
                <c:pt idx="8">
                  <c:v>5.3508821295219091E+17</c:v>
                </c:pt>
                <c:pt idx="9">
                  <c:v>6.122507550899031E+17</c:v>
                </c:pt>
                <c:pt idx="10">
                  <c:v>6.9941809219926758E+17</c:v>
                </c:pt>
                <c:pt idx="11">
                  <c:v>7.9360652689711923E+17</c:v>
                </c:pt>
                <c:pt idx="12">
                  <c:v>8.8612378987319322E+17</c:v>
                </c:pt>
                <c:pt idx="13">
                  <c:v>9.5743247622896998E+17</c:v>
                </c:pt>
                <c:pt idx="14">
                  <c:v>9.7086720348082458E+17</c:v>
                </c:pt>
                <c:pt idx="15">
                  <c:v>8.7333480289396109E+17</c:v>
                </c:pt>
                <c:pt idx="16">
                  <c:v>6.2731634042007027E+17</c:v>
                </c:pt>
                <c:pt idx="17">
                  <c:v>2.9420329377037664E+17</c:v>
                </c:pt>
                <c:pt idx="18">
                  <c:v>5.9419013983320488E+16</c:v>
                </c:pt>
                <c:pt idx="19">
                  <c:v>1648233861104212.3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2.9421931491976352E+17</c:v>
                </c:pt>
                <c:pt idx="1">
                  <c:v>3.2563173491814816E+17</c:v>
                </c:pt>
                <c:pt idx="2">
                  <c:v>3.615148951731575E+17</c:v>
                </c:pt>
                <c:pt idx="3">
                  <c:v>4.0259475840719962E+17</c:v>
                </c:pt>
                <c:pt idx="4">
                  <c:v>4.4967774582925267E+17</c:v>
                </c:pt>
                <c:pt idx="5">
                  <c:v>5.0360839155931885E+17</c:v>
                </c:pt>
                <c:pt idx="6">
                  <c:v>5.6516501141274893E+17</c:v>
                </c:pt>
                <c:pt idx="7">
                  <c:v>6.3483409458511898E+17</c:v>
                </c:pt>
                <c:pt idx="8">
                  <c:v>7.1235426099957952E+17</c:v>
                </c:pt>
                <c:pt idx="9">
                  <c:v>7.9583809824482906E+17</c:v>
                </c:pt>
                <c:pt idx="10">
                  <c:v>8.8016745329465254E+17</c:v>
                </c:pt>
                <c:pt idx="11">
                  <c:v>9.5429413307220787E+17</c:v>
                </c:pt>
                <c:pt idx="12">
                  <c:v>9.9741064296105997E+17</c:v>
                </c:pt>
                <c:pt idx="13">
                  <c:v>9.7586920997583578E+17</c:v>
                </c:pt>
                <c:pt idx="14">
                  <c:v>8.4842855473501107E+17</c:v>
                </c:pt>
                <c:pt idx="15">
                  <c:v>5.9667033656923418E+17</c:v>
                </c:pt>
                <c:pt idx="16">
                  <c:v>2.8558130404668602E+17</c:v>
                </c:pt>
                <c:pt idx="17">
                  <c:v>6.705603635475636E+16</c:v>
                </c:pt>
                <c:pt idx="18">
                  <c:v>3929751147091072</c:v>
                </c:pt>
                <c:pt idx="19">
                  <c:v>8812538611564.709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3.7041439480913696E+17</c:v>
                </c:pt>
                <c:pt idx="1">
                  <c:v>4.0808088080893158E+17</c:v>
                </c:pt>
                <c:pt idx="2">
                  <c:v>4.5071188860523341E+17</c:v>
                </c:pt>
                <c:pt idx="3">
                  <c:v>4.9895218353727731E+17</c:v>
                </c:pt>
                <c:pt idx="4">
                  <c:v>5.5341885041808243E+17</c:v>
                </c:pt>
                <c:pt idx="5">
                  <c:v>6.1457983812540659E+17</c:v>
                </c:pt>
                <c:pt idx="6">
                  <c:v>6.8251868799387328E+17</c:v>
                </c:pt>
                <c:pt idx="7">
                  <c:v>7.5649732979336026E+17</c:v>
                </c:pt>
                <c:pt idx="8">
                  <c:v>8.3417377527425203E+17</c:v>
                </c:pt>
                <c:pt idx="9">
                  <c:v>9.1027022615244979E+17</c:v>
                </c:pt>
                <c:pt idx="10">
                  <c:v>9.7447863738581171E+17</c:v>
                </c:pt>
                <c:pt idx="11">
                  <c:v>1.0087338193267172E+18</c:v>
                </c:pt>
                <c:pt idx="12">
                  <c:v>9.8527999803539238E+17</c:v>
                </c:pt>
                <c:pt idx="13">
                  <c:v>8.7067750789521766E+17</c:v>
                </c:pt>
                <c:pt idx="14">
                  <c:v>6.4665715980512154E+17</c:v>
                </c:pt>
                <c:pt idx="15">
                  <c:v>3.5388299544463718E+17</c:v>
                </c:pt>
                <c:pt idx="16">
                  <c:v>1.122378820655777E+17</c:v>
                </c:pt>
                <c:pt idx="17">
                  <c:v>1.3116055191390362E+16</c:v>
                </c:pt>
                <c:pt idx="18">
                  <c:v>221777471640706.31</c:v>
                </c:pt>
                <c:pt idx="19">
                  <c:v>40034100032.446571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4.3668761460779642E+17</c:v>
                </c:pt>
                <c:pt idx="1">
                  <c:v>4.7922817501964666E+17</c:v>
                </c:pt>
                <c:pt idx="2">
                  <c:v>5.2691143958581261E+17</c:v>
                </c:pt>
                <c:pt idx="3">
                  <c:v>5.8020021173679718E+17</c:v>
                </c:pt>
                <c:pt idx="4">
                  <c:v>6.3938578096229722E+17</c:v>
                </c:pt>
                <c:pt idx="5">
                  <c:v>7.043778960880375E+17</c:v>
                </c:pt>
                <c:pt idx="6">
                  <c:v>7.7433351130281894E+17</c:v>
                </c:pt>
                <c:pt idx="7">
                  <c:v>8.470216691235904E+17</c:v>
                </c:pt>
                <c:pt idx="8">
                  <c:v>9.1778409773872013E+17</c:v>
                </c:pt>
                <c:pt idx="9">
                  <c:v>9.7795986223348531E+17</c:v>
                </c:pt>
                <c:pt idx="10">
                  <c:v>1.0128505670176436E+18</c:v>
                </c:pt>
                <c:pt idx="11">
                  <c:v>1.0001235813049347E+18</c:v>
                </c:pt>
                <c:pt idx="12">
                  <c:v>9.117551105723968E+17</c:v>
                </c:pt>
                <c:pt idx="13">
                  <c:v>7.2648448410853286E+17</c:v>
                </c:pt>
                <c:pt idx="14">
                  <c:v>4.5996889694636653E+17</c:v>
                </c:pt>
                <c:pt idx="15">
                  <c:v>1.9539858988510346E+17</c:v>
                </c:pt>
                <c:pt idx="16">
                  <c:v>4.0957629609169152E+16</c:v>
                </c:pt>
                <c:pt idx="17">
                  <c:v>2375766353616858.5</c:v>
                </c:pt>
                <c:pt idx="18">
                  <c:v>11563115249701.172</c:v>
                </c:pt>
                <c:pt idx="19">
                  <c:v>167730359.62793833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4.9553277494088685E+17</c:v>
                </c:pt>
                <c:pt idx="1">
                  <c:v>5.4186852871610458E+17</c:v>
                </c:pt>
                <c:pt idx="2">
                  <c:v>5.9327042478075968E+17</c:v>
                </c:pt>
                <c:pt idx="3">
                  <c:v>6.499419680616407E+17</c:v>
                </c:pt>
                <c:pt idx="4">
                  <c:v>7.1174910484921434E+17</c:v>
                </c:pt>
                <c:pt idx="5">
                  <c:v>7.7792158508601498E+17</c:v>
                </c:pt>
                <c:pt idx="6">
                  <c:v>8.4655686606475149E+17</c:v>
                </c:pt>
                <c:pt idx="7">
                  <c:v>9.1382815993264346E+17</c:v>
                </c:pt>
                <c:pt idx="8">
                  <c:v>9.7279941719413133E+17</c:v>
                </c:pt>
                <c:pt idx="9">
                  <c:v>1.0118692192181946E+18</c:v>
                </c:pt>
                <c:pt idx="10">
                  <c:v>1.0133303549748767E+18</c:v>
                </c:pt>
                <c:pt idx="11">
                  <c:v>9.538063217265577E+17</c:v>
                </c:pt>
                <c:pt idx="12">
                  <c:v>8.1083550774210662E+17</c:v>
                </c:pt>
                <c:pt idx="13">
                  <c:v>5.818980251227095E+17</c:v>
                </c:pt>
                <c:pt idx="14">
                  <c:v>3.1366684216555514E+17</c:v>
                </c:pt>
                <c:pt idx="15">
                  <c:v>1.0328711025451301E+17</c:v>
                </c:pt>
                <c:pt idx="16">
                  <c:v>1.4287377831899048E+16</c:v>
                </c:pt>
                <c:pt idx="17">
                  <c:v>410788021058174.56</c:v>
                </c:pt>
                <c:pt idx="18">
                  <c:v>574808350013.10925</c:v>
                </c:pt>
                <c:pt idx="19">
                  <c:v>669440.83401396347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5.4842322655546554E+17</c:v>
                </c:pt>
                <c:pt idx="1">
                  <c:v>5.9765859082286682E+17</c:v>
                </c:pt>
                <c:pt idx="2">
                  <c:v>6.5167177589785664E+17</c:v>
                </c:pt>
                <c:pt idx="3">
                  <c:v>7.1034804080110925E+17</c:v>
                </c:pt>
                <c:pt idx="4">
                  <c:v>7.7305752280023155E+17</c:v>
                </c:pt>
                <c:pt idx="5">
                  <c:v>8.3827508701665638E+17</c:v>
                </c:pt>
                <c:pt idx="6">
                  <c:v>9.0298194279115034E+17</c:v>
                </c:pt>
                <c:pt idx="7">
                  <c:v>9.6177439090022374E+17</c:v>
                </c:pt>
                <c:pt idx="8">
                  <c:v>1.0056633029357965E+18</c:v>
                </c:pt>
                <c:pt idx="9">
                  <c:v>1.0207993105662546E+18</c:v>
                </c:pt>
                <c:pt idx="10">
                  <c:v>9.8807073010121754E+17</c:v>
                </c:pt>
                <c:pt idx="11">
                  <c:v>8.8606346194315034E+17</c:v>
                </c:pt>
                <c:pt idx="12">
                  <c:v>7.0193785018266483E+17</c:v>
                </c:pt>
                <c:pt idx="13">
                  <c:v>4.5335845224992826E+17</c:v>
                </c:pt>
                <c:pt idx="14">
                  <c:v>2.0787684583425795E+17</c:v>
                </c:pt>
                <c:pt idx="15">
                  <c:v>5.3011524687351792E+16</c:v>
                </c:pt>
                <c:pt idx="16">
                  <c:v>4834783223686693</c:v>
                </c:pt>
                <c:pt idx="17">
                  <c:v>68846185425073.93</c:v>
                </c:pt>
                <c:pt idx="18">
                  <c:v>27677173954.681297</c:v>
                </c:pt>
                <c:pt idx="19">
                  <c:v>2586.7606597600411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5.9632923646220531E+17</c:v>
                </c:pt>
                <c:pt idx="1">
                  <c:v>6.4769600272433165E+17</c:v>
                </c:pt>
                <c:pt idx="2">
                  <c:v>7.0337413997565645E+17</c:v>
                </c:pt>
                <c:pt idx="3">
                  <c:v>7.6288691723573773E+17</c:v>
                </c:pt>
                <c:pt idx="4">
                  <c:v>8.2506221134855475E+17</c:v>
                </c:pt>
                <c:pt idx="5">
                  <c:v>8.8758275931832627E+17</c:v>
                </c:pt>
                <c:pt idx="6">
                  <c:v>9.4631586947241702E+17</c:v>
                </c:pt>
                <c:pt idx="7">
                  <c:v>9.9438900105990182E+17</c:v>
                </c:pt>
                <c:pt idx="8">
                  <c:v>1.0211060092738949E+18</c:v>
                </c:pt>
                <c:pt idx="9">
                  <c:v>1.0111845801105373E+18</c:v>
                </c:pt>
                <c:pt idx="10">
                  <c:v>9.4569671340513062E+17</c:v>
                </c:pt>
                <c:pt idx="11">
                  <c:v>8.076346491050112E+17</c:v>
                </c:pt>
                <c:pt idx="12">
                  <c:v>5.9592982276322509E+17</c:v>
                </c:pt>
                <c:pt idx="13">
                  <c:v>3.4619674130851603E+17</c:v>
                </c:pt>
                <c:pt idx="14">
                  <c:v>1.3494785034482776E+17</c:v>
                </c:pt>
                <c:pt idx="15">
                  <c:v>2.6634662894758472E+16</c:v>
                </c:pt>
                <c:pt idx="16">
                  <c:v>1600652452042178.8</c:v>
                </c:pt>
                <c:pt idx="17">
                  <c:v>11282635315452.092</c:v>
                </c:pt>
                <c:pt idx="18">
                  <c:v>1302586097.009311</c:v>
                </c:pt>
                <c:pt idx="19">
                  <c:v>9.7670218658455568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-3.19</c:v>
                </c:pt>
                <c:pt idx="1">
                  <c:v>3.19</c:v>
                </c:pt>
                <c:pt idx="2">
                  <c:v>3.19</c:v>
                </c:pt>
                <c:pt idx="3">
                  <c:v>-3.19</c:v>
                </c:pt>
                <c:pt idx="4">
                  <c:v>-3.19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-1.91</c:v>
                </c:pt>
                <c:pt idx="1">
                  <c:v>-1.91</c:v>
                </c:pt>
                <c:pt idx="2">
                  <c:v>1.91</c:v>
                </c:pt>
                <c:pt idx="3">
                  <c:v>1.91</c:v>
                </c:pt>
                <c:pt idx="4">
                  <c:v>-1.91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8.8388347648318444</c:v>
                </c:pt>
                <c:pt idx="1">
                  <c:v>1.0606601717798219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1.0606601717798219</c:v>
                </c:pt>
                <c:pt idx="1">
                  <c:v>8.8388347648318444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-1.0606601717798201</c:v>
                </c:pt>
                <c:pt idx="1">
                  <c:v>-8.8388347648318444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-3.19</c:v>
                </c:pt>
                <c:pt idx="1">
                  <c:v>-2.886190476190476</c:v>
                </c:pt>
                <c:pt idx="2">
                  <c:v>-2.582380952380952</c:v>
                </c:pt>
                <c:pt idx="3">
                  <c:v>-2.278571428571428</c:v>
                </c:pt>
                <c:pt idx="4">
                  <c:v>-1.9747619047619043</c:v>
                </c:pt>
                <c:pt idx="5">
                  <c:v>-1.6709523809523805</c:v>
                </c:pt>
                <c:pt idx="6">
                  <c:v>-1.3671428571428568</c:v>
                </c:pt>
                <c:pt idx="7">
                  <c:v>-1.063333333333333</c:v>
                </c:pt>
                <c:pt idx="8">
                  <c:v>-0.75952380952380927</c:v>
                </c:pt>
                <c:pt idx="9">
                  <c:v>-0.45571428571428546</c:v>
                </c:pt>
                <c:pt idx="10">
                  <c:v>-0.15190476190476165</c:v>
                </c:pt>
                <c:pt idx="11">
                  <c:v>0.15190476190476215</c:v>
                </c:pt>
                <c:pt idx="12">
                  <c:v>0.45571428571428596</c:v>
                </c:pt>
                <c:pt idx="13">
                  <c:v>0.75952380952380971</c:v>
                </c:pt>
                <c:pt idx="14">
                  <c:v>1.0633333333333335</c:v>
                </c:pt>
                <c:pt idx="15">
                  <c:v>1.3671428571428572</c:v>
                </c:pt>
                <c:pt idx="16">
                  <c:v>1.670952380952381</c:v>
                </c:pt>
                <c:pt idx="17">
                  <c:v>1.9747619047619047</c:v>
                </c:pt>
                <c:pt idx="18">
                  <c:v>2.2785714285714285</c:v>
                </c:pt>
                <c:pt idx="19">
                  <c:v>2.5823809523809524</c:v>
                </c:pt>
                <c:pt idx="20">
                  <c:v>2.8861904761904764</c:v>
                </c:pt>
                <c:pt idx="21">
                  <c:v>3.1900000000000004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0.81350282609992386</c:v>
                </c:pt>
                <c:pt idx="2">
                  <c:v>1.1213362614924522</c:v>
                </c:pt>
                <c:pt idx="3">
                  <c:v>1.3367215453473917</c:v>
                </c:pt>
                <c:pt idx="4">
                  <c:v>1.5000250942723301</c:v>
                </c:pt>
                <c:pt idx="5">
                  <c:v>1.6270056521998471</c:v>
                </c:pt>
                <c:pt idx="6">
                  <c:v>1.72570009454903</c:v>
                </c:pt>
                <c:pt idx="7">
                  <c:v>1.8007652694217411</c:v>
                </c:pt>
                <c:pt idx="8">
                  <c:v>1.8550718611356607</c:v>
                </c:pt>
                <c:pt idx="9">
                  <c:v>1.8904097385466032</c:v>
                </c:pt>
                <c:pt idx="10">
                  <c:v>1.9078332380999898</c:v>
                </c:pt>
                <c:pt idx="11">
                  <c:v>1.9078332380999898</c:v>
                </c:pt>
                <c:pt idx="12">
                  <c:v>1.8904097385466032</c:v>
                </c:pt>
                <c:pt idx="13">
                  <c:v>1.8550718611356607</c:v>
                </c:pt>
                <c:pt idx="14">
                  <c:v>1.8007652694217409</c:v>
                </c:pt>
                <c:pt idx="15">
                  <c:v>1.7257000945490297</c:v>
                </c:pt>
                <c:pt idx="16">
                  <c:v>1.6270056521998471</c:v>
                </c:pt>
                <c:pt idx="17">
                  <c:v>1.5000250942723299</c:v>
                </c:pt>
                <c:pt idx="18">
                  <c:v>1.3367215453473915</c:v>
                </c:pt>
                <c:pt idx="19">
                  <c:v>1.1213362614924518</c:v>
                </c:pt>
                <c:pt idx="20">
                  <c:v>0.81350282609992308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-3.19</c:v>
                </c:pt>
                <c:pt idx="1">
                  <c:v>-2.886190476190476</c:v>
                </c:pt>
                <c:pt idx="2">
                  <c:v>-2.582380952380952</c:v>
                </c:pt>
                <c:pt idx="3">
                  <c:v>-2.278571428571428</c:v>
                </c:pt>
                <c:pt idx="4">
                  <c:v>-1.9747619047619043</c:v>
                </c:pt>
                <c:pt idx="5">
                  <c:v>-1.6709523809523805</c:v>
                </c:pt>
                <c:pt idx="6">
                  <c:v>-1.3671428571428568</c:v>
                </c:pt>
                <c:pt idx="7">
                  <c:v>-1.063333333333333</c:v>
                </c:pt>
                <c:pt idx="8">
                  <c:v>-0.75952380952380927</c:v>
                </c:pt>
                <c:pt idx="9">
                  <c:v>-0.45571428571428546</c:v>
                </c:pt>
                <c:pt idx="10">
                  <c:v>-0.15190476190476165</c:v>
                </c:pt>
                <c:pt idx="11">
                  <c:v>0.15190476190476215</c:v>
                </c:pt>
                <c:pt idx="12">
                  <c:v>0.45571428571428596</c:v>
                </c:pt>
                <c:pt idx="13">
                  <c:v>0.75952380952380971</c:v>
                </c:pt>
                <c:pt idx="14">
                  <c:v>1.0633333333333335</c:v>
                </c:pt>
                <c:pt idx="15">
                  <c:v>1.3671428571428572</c:v>
                </c:pt>
                <c:pt idx="16">
                  <c:v>1.670952380952381</c:v>
                </c:pt>
                <c:pt idx="17">
                  <c:v>1.9747619047619047</c:v>
                </c:pt>
                <c:pt idx="18">
                  <c:v>2.2785714285714285</c:v>
                </c:pt>
                <c:pt idx="19">
                  <c:v>2.5823809523809524</c:v>
                </c:pt>
                <c:pt idx="20">
                  <c:v>2.8861904761904764</c:v>
                </c:pt>
                <c:pt idx="21">
                  <c:v>3.1900000000000004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-0.81350282609992386</c:v>
                </c:pt>
                <c:pt idx="2">
                  <c:v>-1.1213362614924522</c:v>
                </c:pt>
                <c:pt idx="3">
                  <c:v>-1.3367215453473917</c:v>
                </c:pt>
                <c:pt idx="4">
                  <c:v>-1.5000250942723301</c:v>
                </c:pt>
                <c:pt idx="5">
                  <c:v>-1.6270056521998471</c:v>
                </c:pt>
                <c:pt idx="6">
                  <c:v>-1.72570009454903</c:v>
                </c:pt>
                <c:pt idx="7">
                  <c:v>-1.8007652694217411</c:v>
                </c:pt>
                <c:pt idx="8">
                  <c:v>-1.8550718611356607</c:v>
                </c:pt>
                <c:pt idx="9">
                  <c:v>-1.8904097385466032</c:v>
                </c:pt>
                <c:pt idx="10">
                  <c:v>-1.9078332380999898</c:v>
                </c:pt>
                <c:pt idx="11">
                  <c:v>-1.9078332380999898</c:v>
                </c:pt>
                <c:pt idx="12">
                  <c:v>-1.8904097385466032</c:v>
                </c:pt>
                <c:pt idx="13">
                  <c:v>-1.8550718611356607</c:v>
                </c:pt>
                <c:pt idx="14">
                  <c:v>-1.8007652694217409</c:v>
                </c:pt>
                <c:pt idx="15">
                  <c:v>-1.7257000945490297</c:v>
                </c:pt>
                <c:pt idx="16">
                  <c:v>-1.6270056521998471</c:v>
                </c:pt>
                <c:pt idx="17">
                  <c:v>-1.5000250942723299</c:v>
                </c:pt>
                <c:pt idx="18">
                  <c:v>-1.3367215453473915</c:v>
                </c:pt>
                <c:pt idx="19">
                  <c:v>-1.1213362614924518</c:v>
                </c:pt>
                <c:pt idx="20">
                  <c:v>-0.81350282609992308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17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-17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19</c:v>
                </c:pt>
                <c:pt idx="2">
                  <c:v>21</c:v>
                </c:pt>
                <c:pt idx="3">
                  <c:v>27</c:v>
                </c:pt>
                <c:pt idx="4">
                  <c:v>33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33</c:v>
                </c:pt>
                <c:pt idx="10">
                  <c:v>27</c:v>
                </c:pt>
                <c:pt idx="11">
                  <c:v>21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48432546047226.344</c:v>
                </c:pt>
                <c:pt idx="1">
                  <c:v>48406810214952.141</c:v>
                </c:pt>
                <c:pt idx="2">
                  <c:v>48373860721529.016</c:v>
                </c:pt>
                <c:pt idx="3">
                  <c:v>48331171950549.328</c:v>
                </c:pt>
                <c:pt idx="4">
                  <c:v>48275145447332.945</c:v>
                </c:pt>
                <c:pt idx="5">
                  <c:v>48200569490717.766</c:v>
                </c:pt>
                <c:pt idx="6">
                  <c:v>48099762281193.969</c:v>
                </c:pt>
                <c:pt idx="7">
                  <c:v>47961187937192.375</c:v>
                </c:pt>
                <c:pt idx="8">
                  <c:v>47767178821436.594</c:v>
                </c:pt>
                <c:pt idx="9">
                  <c:v>47490120086204.953</c:v>
                </c:pt>
                <c:pt idx="10">
                  <c:v>47085960917735.523</c:v>
                </c:pt>
                <c:pt idx="11">
                  <c:v>46483076561967.75</c:v>
                </c:pt>
                <c:pt idx="12">
                  <c:v>45563204715121.047</c:v>
                </c:pt>
                <c:pt idx="13">
                  <c:v>44129738086222.078</c:v>
                </c:pt>
                <c:pt idx="14">
                  <c:v>41859490454342.203</c:v>
                </c:pt>
                <c:pt idx="15">
                  <c:v>38247185523876.219</c:v>
                </c:pt>
                <c:pt idx="16">
                  <c:v>32607632885339.934</c:v>
                </c:pt>
                <c:pt idx="17">
                  <c:v>24350654158287.941</c:v>
                </c:pt>
                <c:pt idx="18">
                  <c:v>13909773114477.473</c:v>
                </c:pt>
                <c:pt idx="19">
                  <c:v>4153406905217.7173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31579325952880.414</c:v>
                </c:pt>
                <c:pt idx="1">
                  <c:v>31509859752334.074</c:v>
                </c:pt>
                <c:pt idx="2">
                  <c:v>31421392473210.461</c:v>
                </c:pt>
                <c:pt idx="3">
                  <c:v>31307500229862.605</c:v>
                </c:pt>
                <c:pt idx="4">
                  <c:v>31159165292793.223</c:v>
                </c:pt>
                <c:pt idx="5">
                  <c:v>30963564481233.902</c:v>
                </c:pt>
                <c:pt idx="6">
                  <c:v>30702227123594.094</c:v>
                </c:pt>
                <c:pt idx="7">
                  <c:v>30348218974140.297</c:v>
                </c:pt>
                <c:pt idx="8">
                  <c:v>29861840601784.184</c:v>
                </c:pt>
                <c:pt idx="9">
                  <c:v>29184140950144.801</c:v>
                </c:pt>
                <c:pt idx="10">
                  <c:v>28227494436284.809</c:v>
                </c:pt>
                <c:pt idx="11">
                  <c:v>26863135769753.641</c:v>
                </c:pt>
                <c:pt idx="12">
                  <c:v>24908599475533.645</c:v>
                </c:pt>
                <c:pt idx="13">
                  <c:v>22127901418008.207</c:v>
                </c:pt>
                <c:pt idx="14">
                  <c:v>18282581119187.645</c:v>
                </c:pt>
                <c:pt idx="15">
                  <c:v>13315278700656.143</c:v>
                </c:pt>
                <c:pt idx="16">
                  <c:v>7740520524416.7861</c:v>
                </c:pt>
                <c:pt idx="17">
                  <c:v>2969626171978.54</c:v>
                </c:pt>
                <c:pt idx="18">
                  <c:v>504976770266.58612</c:v>
                </c:pt>
                <c:pt idx="19">
                  <c:v>12435711976.009226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25843453059169.164</c:v>
                </c:pt>
                <c:pt idx="1">
                  <c:v>25733506070144.625</c:v>
                </c:pt>
                <c:pt idx="2">
                  <c:v>25594139359740.77</c:v>
                </c:pt>
                <c:pt idx="3">
                  <c:v>25415730679237.531</c:v>
                </c:pt>
                <c:pt idx="4">
                  <c:v>25184966571927.941</c:v>
                </c:pt>
                <c:pt idx="5">
                  <c:v>24883256747882.324</c:v>
                </c:pt>
                <c:pt idx="6">
                  <c:v>24484440402426.801</c:v>
                </c:pt>
                <c:pt idx="7">
                  <c:v>23951515728869.574</c:v>
                </c:pt>
                <c:pt idx="8">
                  <c:v>23232136566587.691</c:v>
                </c:pt>
                <c:pt idx="9">
                  <c:v>22252886445882.43</c:v>
                </c:pt>
                <c:pt idx="10">
                  <c:v>20913361103011.68</c:v>
                </c:pt>
                <c:pt idx="11">
                  <c:v>19084095648699.277</c:v>
                </c:pt>
                <c:pt idx="12">
                  <c:v>16619548910323.994</c:v>
                </c:pt>
                <c:pt idx="13">
                  <c:v>13412500944437.41</c:v>
                </c:pt>
                <c:pt idx="14">
                  <c:v>9530755630747.0273</c:v>
                </c:pt>
                <c:pt idx="15">
                  <c:v>5443142061747.3262</c:v>
                </c:pt>
                <c:pt idx="16">
                  <c:v>2114642828448.2825</c:v>
                </c:pt>
                <c:pt idx="17">
                  <c:v>407321808662.99323</c:v>
                </c:pt>
                <c:pt idx="18">
                  <c:v>20148435276.643303</c:v>
                </c:pt>
                <c:pt idx="19">
                  <c:v>40185509.537621386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22601131563751.25</c:v>
                </c:pt>
                <c:pt idx="1">
                  <c:v>22453328225128.555</c:v>
                </c:pt>
                <c:pt idx="2">
                  <c:v>22266812670255.227</c:v>
                </c:pt>
                <c:pt idx="3">
                  <c:v>22029340180698.238</c:v>
                </c:pt>
                <c:pt idx="4">
                  <c:v>21724219333756.203</c:v>
                </c:pt>
                <c:pt idx="5">
                  <c:v>21328581628989.801</c:v>
                </c:pt>
                <c:pt idx="6">
                  <c:v>20811033042157.848</c:v>
                </c:pt>
                <c:pt idx="7">
                  <c:v>20128619010469.391</c:v>
                </c:pt>
                <c:pt idx="8">
                  <c:v>19223308488836.598</c:v>
                </c:pt>
                <c:pt idx="9">
                  <c:v>18019032395469.445</c:v>
                </c:pt>
                <c:pt idx="10">
                  <c:v>16422178353880.434</c:v>
                </c:pt>
                <c:pt idx="11">
                  <c:v>14333453268260.094</c:v>
                </c:pt>
                <c:pt idx="12">
                  <c:v>11686042925856.533</c:v>
                </c:pt>
                <c:pt idx="13">
                  <c:v>8533352237089.251</c:v>
                </c:pt>
                <c:pt idx="14">
                  <c:v>5189556521088.2324</c:v>
                </c:pt>
                <c:pt idx="15">
                  <c:v>2310744305856.7383</c:v>
                </c:pt>
                <c:pt idx="16">
                  <c:v>596068822733.06189</c:v>
                </c:pt>
                <c:pt idx="17">
                  <c:v>57259242321.844017</c:v>
                </c:pt>
                <c:pt idx="18">
                  <c:v>818791192.37124622</c:v>
                </c:pt>
                <c:pt idx="19">
                  <c:v>131645.71861660812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20396820431146.328</c:v>
                </c:pt>
                <c:pt idx="1">
                  <c:v>20213511559204.691</c:v>
                </c:pt>
                <c:pt idx="2">
                  <c:v>19983201269538.137</c:v>
                </c:pt>
                <c:pt idx="3">
                  <c:v>19691526186057.438</c:v>
                </c:pt>
                <c:pt idx="4">
                  <c:v>19319209245453.926</c:v>
                </c:pt>
                <c:pt idx="5">
                  <c:v>18840365935847.023</c:v>
                </c:pt>
                <c:pt idx="6">
                  <c:v>18220399874580.621</c:v>
                </c:pt>
                <c:pt idx="7">
                  <c:v>17413686553795.768</c:v>
                </c:pt>
                <c:pt idx="8">
                  <c:v>16361781896764.826</c:v>
                </c:pt>
                <c:pt idx="9">
                  <c:v>14994174587744.854</c:v>
                </c:pt>
                <c:pt idx="10">
                  <c:v>13236218860170.279</c:v>
                </c:pt>
                <c:pt idx="11">
                  <c:v>11033474985643.943</c:v>
                </c:pt>
                <c:pt idx="12">
                  <c:v>8406372533551.3818</c:v>
                </c:pt>
                <c:pt idx="13">
                  <c:v>5542119311057.5029</c:v>
                </c:pt>
                <c:pt idx="14">
                  <c:v>2877250660183.6069</c:v>
                </c:pt>
                <c:pt idx="15">
                  <c:v>996021677989.96326</c:v>
                </c:pt>
                <c:pt idx="16">
                  <c:v>170087279027.99731</c:v>
                </c:pt>
                <c:pt idx="17">
                  <c:v>8124455394.1267586</c:v>
                </c:pt>
                <c:pt idx="18">
                  <c:v>33497789.750473518</c:v>
                </c:pt>
                <c:pt idx="19">
                  <c:v>433.34674735273239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18745704222425.262</c:v>
                </c:pt>
                <c:pt idx="1">
                  <c:v>18529054406905.484</c:v>
                </c:pt>
                <c:pt idx="2">
                  <c:v>18258027220470.965</c:v>
                </c:pt>
                <c:pt idx="3">
                  <c:v>17916588264297.895</c:v>
                </c:pt>
                <c:pt idx="4">
                  <c:v>17483567802849.82</c:v>
                </c:pt>
                <c:pt idx="5">
                  <c:v>16931146415697.973</c:v>
                </c:pt>
                <c:pt idx="6">
                  <c:v>16223212152917.156</c:v>
                </c:pt>
                <c:pt idx="7">
                  <c:v>15314084939064.623</c:v>
                </c:pt>
                <c:pt idx="8">
                  <c:v>14148853647963.748</c:v>
                </c:pt>
                <c:pt idx="9">
                  <c:v>12668150868582.084</c:v>
                </c:pt>
                <c:pt idx="10">
                  <c:v>10822895534806.344</c:v>
                </c:pt>
                <c:pt idx="11">
                  <c:v>8607828084577.8633</c:v>
                </c:pt>
                <c:pt idx="12">
                  <c:v>6121570789471.2861</c:v>
                </c:pt>
                <c:pt idx="13">
                  <c:v>3638795094775.2456</c:v>
                </c:pt>
                <c:pt idx="14">
                  <c:v>1610244572581.5774</c:v>
                </c:pt>
                <c:pt idx="15">
                  <c:v>432659131016.10626</c:v>
                </c:pt>
                <c:pt idx="16">
                  <c:v>48830550794.93013</c:v>
                </c:pt>
                <c:pt idx="17">
                  <c:v>1158007306.4762259</c:v>
                </c:pt>
                <c:pt idx="18">
                  <c:v>1374825.0443532779</c:v>
                </c:pt>
                <c:pt idx="19">
                  <c:v>1.429682557660197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17432961550133.51</c:v>
                </c:pt>
                <c:pt idx="1">
                  <c:v>17184990356976.375</c:v>
                </c:pt>
                <c:pt idx="2">
                  <c:v>16876105322384.113</c:v>
                </c:pt>
                <c:pt idx="3">
                  <c:v>16489001089852.191</c:v>
                </c:pt>
                <c:pt idx="4">
                  <c:v>16001222764628.428</c:v>
                </c:pt>
                <c:pt idx="5">
                  <c:v>15383942821246.688</c:v>
                </c:pt>
                <c:pt idx="6">
                  <c:v>14600933894503.914</c:v>
                </c:pt>
                <c:pt idx="7">
                  <c:v>13608521109080.027</c:v>
                </c:pt>
                <c:pt idx="8">
                  <c:v>12358195230615.068</c:v>
                </c:pt>
                <c:pt idx="9">
                  <c:v>10805227803779.389</c:v>
                </c:pt>
                <c:pt idx="10">
                  <c:v>8928896172567.9141</c:v>
                </c:pt>
                <c:pt idx="11">
                  <c:v>6770923125388.1436</c:v>
                </c:pt>
                <c:pt idx="12">
                  <c:v>4490970657883.7686</c:v>
                </c:pt>
                <c:pt idx="13">
                  <c:v>2404735734339.1001</c:v>
                </c:pt>
                <c:pt idx="14">
                  <c:v>906157633602.55762</c:v>
                </c:pt>
                <c:pt idx="15">
                  <c:v>188787559958.73288</c:v>
                </c:pt>
                <c:pt idx="16">
                  <c:v>14067681868.225801</c:v>
                </c:pt>
                <c:pt idx="17">
                  <c:v>165476576.20699486</c:v>
                </c:pt>
                <c:pt idx="18">
                  <c:v>56526.103268945881</c:v>
                </c:pt>
                <c:pt idx="19">
                  <c:v>4.7225518515859226E-3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16346423252980.426</c:v>
                </c:pt>
                <c:pt idx="1">
                  <c:v>16069028269669.318</c:v>
                </c:pt>
                <c:pt idx="2">
                  <c:v>15724958635548.734</c:v>
                </c:pt>
                <c:pt idx="3">
                  <c:v>15295996627501.74</c:v>
                </c:pt>
                <c:pt idx="4">
                  <c:v>14758938149168.852</c:v>
                </c:pt>
                <c:pt idx="5">
                  <c:v>14084736733710.186</c:v>
                </c:pt>
                <c:pt idx="6">
                  <c:v>13238199881664.018</c:v>
                </c:pt>
                <c:pt idx="7">
                  <c:v>12179254460004.246</c:v>
                </c:pt>
                <c:pt idx="8">
                  <c:v>10867793268026.107</c:v>
                </c:pt>
                <c:pt idx="9">
                  <c:v>9275633597393.4023</c:v>
                </c:pt>
                <c:pt idx="10">
                  <c:v>7410513292242.6777</c:v>
                </c:pt>
                <c:pt idx="11">
                  <c:v>5355187274614.9775</c:v>
                </c:pt>
                <c:pt idx="12">
                  <c:v>3310821726127.8208</c:v>
                </c:pt>
                <c:pt idx="13">
                  <c:v>1595932860709.0276</c:v>
                </c:pt>
                <c:pt idx="14">
                  <c:v>511746212386.9151</c:v>
                </c:pt>
                <c:pt idx="15">
                  <c:v>82610850373.38385</c:v>
                </c:pt>
                <c:pt idx="16">
                  <c:v>4061623233.8671618</c:v>
                </c:pt>
                <c:pt idx="17">
                  <c:v>23683607.739470307</c:v>
                </c:pt>
                <c:pt idx="18">
                  <c:v>2326.6044310038005</c:v>
                </c:pt>
                <c:pt idx="19">
                  <c:v>1.5611219791668268E-5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48432546047226.344</c:v>
                </c:pt>
                <c:pt idx="1">
                  <c:v>48406810214952.141</c:v>
                </c:pt>
                <c:pt idx="2">
                  <c:v>48373860721529.016</c:v>
                </c:pt>
                <c:pt idx="3">
                  <c:v>48331171950549.328</c:v>
                </c:pt>
                <c:pt idx="4">
                  <c:v>48275145447332.945</c:v>
                </c:pt>
                <c:pt idx="5">
                  <c:v>48200569490717.766</c:v>
                </c:pt>
                <c:pt idx="6">
                  <c:v>48099762281193.969</c:v>
                </c:pt>
                <c:pt idx="7">
                  <c:v>47961187937192.375</c:v>
                </c:pt>
                <c:pt idx="8">
                  <c:v>47767178821436.594</c:v>
                </c:pt>
                <c:pt idx="9">
                  <c:v>47490120086204.953</c:v>
                </c:pt>
                <c:pt idx="10">
                  <c:v>47085960917735.523</c:v>
                </c:pt>
                <c:pt idx="11">
                  <c:v>46483076561967.75</c:v>
                </c:pt>
                <c:pt idx="12">
                  <c:v>45563204715121.047</c:v>
                </c:pt>
                <c:pt idx="13">
                  <c:v>44129738086222.078</c:v>
                </c:pt>
                <c:pt idx="14">
                  <c:v>41859490454342.203</c:v>
                </c:pt>
                <c:pt idx="15">
                  <c:v>38247185523876.219</c:v>
                </c:pt>
                <c:pt idx="16">
                  <c:v>32607632885339.934</c:v>
                </c:pt>
                <c:pt idx="17">
                  <c:v>24350654158287.941</c:v>
                </c:pt>
                <c:pt idx="18">
                  <c:v>13909773114477.473</c:v>
                </c:pt>
                <c:pt idx="19">
                  <c:v>4153406905217.7173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31579325952880.414</c:v>
                </c:pt>
                <c:pt idx="1">
                  <c:v>31509859752334.074</c:v>
                </c:pt>
                <c:pt idx="2">
                  <c:v>31421392473210.461</c:v>
                </c:pt>
                <c:pt idx="3">
                  <c:v>31307500229862.605</c:v>
                </c:pt>
                <c:pt idx="4">
                  <c:v>31159165292793.223</c:v>
                </c:pt>
                <c:pt idx="5">
                  <c:v>30963564481233.902</c:v>
                </c:pt>
                <c:pt idx="6">
                  <c:v>30702227123594.094</c:v>
                </c:pt>
                <c:pt idx="7">
                  <c:v>30348218974140.297</c:v>
                </c:pt>
                <c:pt idx="8">
                  <c:v>29861840601784.184</c:v>
                </c:pt>
                <c:pt idx="9">
                  <c:v>29184140950144.801</c:v>
                </c:pt>
                <c:pt idx="10">
                  <c:v>28227494436284.809</c:v>
                </c:pt>
                <c:pt idx="11">
                  <c:v>26863135769753.641</c:v>
                </c:pt>
                <c:pt idx="12">
                  <c:v>24908599475533.645</c:v>
                </c:pt>
                <c:pt idx="13">
                  <c:v>22127901418008.207</c:v>
                </c:pt>
                <c:pt idx="14">
                  <c:v>18282581119187.645</c:v>
                </c:pt>
                <c:pt idx="15">
                  <c:v>13315278700656.143</c:v>
                </c:pt>
                <c:pt idx="16">
                  <c:v>7740520524416.7861</c:v>
                </c:pt>
                <c:pt idx="17">
                  <c:v>2969626171978.54</c:v>
                </c:pt>
                <c:pt idx="18">
                  <c:v>504976770266.58612</c:v>
                </c:pt>
                <c:pt idx="19">
                  <c:v>12435711976.009226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435.3737185726402</c:v>
                </c:pt>
                <c:pt idx="1">
                  <c:v>479.63700217397928</c:v>
                </c:pt>
                <c:pt idx="2">
                  <c:v>530.83827603519251</c:v>
                </c:pt>
                <c:pt idx="3">
                  <c:v>590.46310900566266</c:v>
                </c:pt>
                <c:pt idx="4">
                  <c:v>660.40208631360031</c:v>
                </c:pt>
                <c:pt idx="5">
                  <c:v>743.08435407479396</c:v>
                </c:pt>
                <c:pt idx="6">
                  <c:v>841.66187765119651</c:v>
                </c:pt>
                <c:pt idx="7">
                  <c:v>960.26516523788575</c:v>
                </c:pt>
                <c:pt idx="8">
                  <c:v>1104.3590728122658</c:v>
                </c:pt>
                <c:pt idx="9">
                  <c:v>1281.2361037950943</c:v>
                </c:pt>
                <c:pt idx="10">
                  <c:v>1500.6901703123522</c:v>
                </c:pt>
                <c:pt idx="11">
                  <c:v>1775.9025021457858</c:v>
                </c:pt>
                <c:pt idx="12">
                  <c:v>2124.5044579313794</c:v>
                </c:pt>
                <c:pt idx="13">
                  <c:v>2569.5570097653658</c:v>
                </c:pt>
                <c:pt idx="14">
                  <c:v>3139.5558230950683</c:v>
                </c:pt>
                <c:pt idx="15">
                  <c:v>3865.0216456746684</c:v>
                </c:pt>
                <c:pt idx="16">
                  <c:v>4766.0978638343622</c:v>
                </c:pt>
                <c:pt idx="17">
                  <c:v>5821.7436126163648</c:v>
                </c:pt>
                <c:pt idx="18">
                  <c:v>6915.8895752205899</c:v>
                </c:pt>
                <c:pt idx="19">
                  <c:v>7794.8770955128384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25843453059169.164</c:v>
                </c:pt>
                <c:pt idx="1">
                  <c:v>25733506070144.625</c:v>
                </c:pt>
                <c:pt idx="2">
                  <c:v>25594139359740.77</c:v>
                </c:pt>
                <c:pt idx="3">
                  <c:v>25415730679237.531</c:v>
                </c:pt>
                <c:pt idx="4">
                  <c:v>25184966571927.941</c:v>
                </c:pt>
                <c:pt idx="5">
                  <c:v>24883256747882.324</c:v>
                </c:pt>
                <c:pt idx="6">
                  <c:v>24484440402426.801</c:v>
                </c:pt>
                <c:pt idx="7">
                  <c:v>23951515728869.574</c:v>
                </c:pt>
                <c:pt idx="8">
                  <c:v>23232136566587.691</c:v>
                </c:pt>
                <c:pt idx="9">
                  <c:v>22252886445882.43</c:v>
                </c:pt>
                <c:pt idx="10">
                  <c:v>20913361103011.68</c:v>
                </c:pt>
                <c:pt idx="11">
                  <c:v>19084095648699.277</c:v>
                </c:pt>
                <c:pt idx="12">
                  <c:v>16619548910323.994</c:v>
                </c:pt>
                <c:pt idx="13">
                  <c:v>13412500944437.41</c:v>
                </c:pt>
                <c:pt idx="14">
                  <c:v>9530755630747.0273</c:v>
                </c:pt>
                <c:pt idx="15">
                  <c:v>5443142061747.3262</c:v>
                </c:pt>
                <c:pt idx="16">
                  <c:v>2114642828448.2825</c:v>
                </c:pt>
                <c:pt idx="17">
                  <c:v>407321808662.99323</c:v>
                </c:pt>
                <c:pt idx="18">
                  <c:v>20148435276.643303</c:v>
                </c:pt>
                <c:pt idx="19">
                  <c:v>40185509.537621386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609.52320600169639</c:v>
                </c:pt>
                <c:pt idx="1">
                  <c:v>671.49180304357105</c:v>
                </c:pt>
                <c:pt idx="2">
                  <c:v>743.17358644926958</c:v>
                </c:pt>
                <c:pt idx="3">
                  <c:v>826.6483526079279</c:v>
                </c:pt>
                <c:pt idx="4">
                  <c:v>924.56292083904054</c:v>
                </c:pt>
                <c:pt idx="5">
                  <c:v>1040.3180957047118</c:v>
                </c:pt>
                <c:pt idx="6">
                  <c:v>1178.3266287116751</c:v>
                </c:pt>
                <c:pt idx="7">
                  <c:v>1344.3712313330402</c:v>
                </c:pt>
                <c:pt idx="8">
                  <c:v>1546.1027019371722</c:v>
                </c:pt>
                <c:pt idx="9">
                  <c:v>1793.7305453131326</c:v>
                </c:pt>
                <c:pt idx="10">
                  <c:v>2100.9662384372937</c:v>
                </c:pt>
                <c:pt idx="11">
                  <c:v>2486.2635030041006</c:v>
                </c:pt>
                <c:pt idx="12">
                  <c:v>2974.3062411039323</c:v>
                </c:pt>
                <c:pt idx="13">
                  <c:v>3597.3798136715127</c:v>
                </c:pt>
                <c:pt idx="14">
                  <c:v>4395.3781523330963</c:v>
                </c:pt>
                <c:pt idx="15">
                  <c:v>5411.0303039445371</c:v>
                </c:pt>
                <c:pt idx="16">
                  <c:v>6672.5370093681086</c:v>
                </c:pt>
                <c:pt idx="17">
                  <c:v>8150.4410576629125</c:v>
                </c:pt>
                <c:pt idx="18">
                  <c:v>9682.2454053088259</c:v>
                </c:pt>
                <c:pt idx="19">
                  <c:v>10912.827933717976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22601131563751.25</c:v>
                </c:pt>
                <c:pt idx="1">
                  <c:v>22453328225128.555</c:v>
                </c:pt>
                <c:pt idx="2">
                  <c:v>22266812670255.227</c:v>
                </c:pt>
                <c:pt idx="3">
                  <c:v>22029340180698.238</c:v>
                </c:pt>
                <c:pt idx="4">
                  <c:v>21724219333756.203</c:v>
                </c:pt>
                <c:pt idx="5">
                  <c:v>21328581628989.801</c:v>
                </c:pt>
                <c:pt idx="6">
                  <c:v>20811033042157.848</c:v>
                </c:pt>
                <c:pt idx="7">
                  <c:v>20128619010469.391</c:v>
                </c:pt>
                <c:pt idx="8">
                  <c:v>19223308488836.598</c:v>
                </c:pt>
                <c:pt idx="9">
                  <c:v>18019032395469.445</c:v>
                </c:pt>
                <c:pt idx="10">
                  <c:v>16422178353880.434</c:v>
                </c:pt>
                <c:pt idx="11">
                  <c:v>14333453268260.094</c:v>
                </c:pt>
                <c:pt idx="12">
                  <c:v>11686042925856.533</c:v>
                </c:pt>
                <c:pt idx="13">
                  <c:v>8533352237089.251</c:v>
                </c:pt>
                <c:pt idx="14">
                  <c:v>5189556521088.2324</c:v>
                </c:pt>
                <c:pt idx="15">
                  <c:v>2310744305856.7383</c:v>
                </c:pt>
                <c:pt idx="16">
                  <c:v>596068822733.06189</c:v>
                </c:pt>
                <c:pt idx="17">
                  <c:v>57259242321.844017</c:v>
                </c:pt>
                <c:pt idx="18">
                  <c:v>818791192.37124622</c:v>
                </c:pt>
                <c:pt idx="19">
                  <c:v>131645.71861660812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783.67269343075259</c:v>
                </c:pt>
                <c:pt idx="1">
                  <c:v>863.34660391316288</c:v>
                </c:pt>
                <c:pt idx="2">
                  <c:v>955.50889686334676</c:v>
                </c:pt>
                <c:pt idx="3">
                  <c:v>1062.833596210193</c:v>
                </c:pt>
                <c:pt idx="4">
                  <c:v>1188.7237553644807</c:v>
                </c:pt>
                <c:pt idx="5">
                  <c:v>1337.5518373346295</c:v>
                </c:pt>
                <c:pt idx="6">
                  <c:v>1514.9913797721538</c:v>
                </c:pt>
                <c:pt idx="7">
                  <c:v>1728.4772974281946</c:v>
                </c:pt>
                <c:pt idx="8">
                  <c:v>1987.8463310620791</c:v>
                </c:pt>
                <c:pt idx="9">
                  <c:v>2306.2249868311701</c:v>
                </c:pt>
                <c:pt idx="10">
                  <c:v>2701.2423065622347</c:v>
                </c:pt>
                <c:pt idx="11">
                  <c:v>3196.6245038624156</c:v>
                </c:pt>
                <c:pt idx="12">
                  <c:v>3824.1080242764842</c:v>
                </c:pt>
                <c:pt idx="13">
                  <c:v>4625.2026175776591</c:v>
                </c:pt>
                <c:pt idx="14">
                  <c:v>5651.2004815711243</c:v>
                </c:pt>
                <c:pt idx="15">
                  <c:v>6957.0389622144057</c:v>
                </c:pt>
                <c:pt idx="16">
                  <c:v>8578.9761549018549</c:v>
                </c:pt>
                <c:pt idx="17">
                  <c:v>10479.13850270946</c:v>
                </c:pt>
                <c:pt idx="18">
                  <c:v>12448.601235397064</c:v>
                </c:pt>
                <c:pt idx="19">
                  <c:v>14030.778771923115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20396820431146.328</c:v>
                </c:pt>
                <c:pt idx="1">
                  <c:v>20213511559204.691</c:v>
                </c:pt>
                <c:pt idx="2">
                  <c:v>19983201269538.137</c:v>
                </c:pt>
                <c:pt idx="3">
                  <c:v>19691526186057.438</c:v>
                </c:pt>
                <c:pt idx="4">
                  <c:v>19319209245453.926</c:v>
                </c:pt>
                <c:pt idx="5">
                  <c:v>18840365935847.023</c:v>
                </c:pt>
                <c:pt idx="6">
                  <c:v>18220399874580.621</c:v>
                </c:pt>
                <c:pt idx="7">
                  <c:v>17413686553795.768</c:v>
                </c:pt>
                <c:pt idx="8">
                  <c:v>16361781896764.826</c:v>
                </c:pt>
                <c:pt idx="9">
                  <c:v>14994174587744.854</c:v>
                </c:pt>
                <c:pt idx="10">
                  <c:v>13236218860170.279</c:v>
                </c:pt>
                <c:pt idx="11">
                  <c:v>11033474985643.943</c:v>
                </c:pt>
                <c:pt idx="12">
                  <c:v>8406372533551.3818</c:v>
                </c:pt>
                <c:pt idx="13">
                  <c:v>5542119311057.5029</c:v>
                </c:pt>
                <c:pt idx="14">
                  <c:v>2877250660183.6069</c:v>
                </c:pt>
                <c:pt idx="15">
                  <c:v>996021677989.96326</c:v>
                </c:pt>
                <c:pt idx="16">
                  <c:v>170087279027.99731</c:v>
                </c:pt>
                <c:pt idx="17">
                  <c:v>8124455394.1267586</c:v>
                </c:pt>
                <c:pt idx="18">
                  <c:v>33497789.750473518</c:v>
                </c:pt>
                <c:pt idx="19">
                  <c:v>433.34674735273239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957.82218085980855</c:v>
                </c:pt>
                <c:pt idx="1">
                  <c:v>1055.2014047827545</c:v>
                </c:pt>
                <c:pt idx="2">
                  <c:v>1167.8442072774235</c:v>
                </c:pt>
                <c:pt idx="3">
                  <c:v>1299.0188398124581</c:v>
                </c:pt>
                <c:pt idx="4">
                  <c:v>1452.8845898899208</c:v>
                </c:pt>
                <c:pt idx="5">
                  <c:v>1634.7855789645469</c:v>
                </c:pt>
                <c:pt idx="6">
                  <c:v>1851.656130832632</c:v>
                </c:pt>
                <c:pt idx="7">
                  <c:v>2112.5833635233485</c:v>
                </c:pt>
                <c:pt idx="8">
                  <c:v>2429.5899601869846</c:v>
                </c:pt>
                <c:pt idx="9">
                  <c:v>2818.7194283492076</c:v>
                </c:pt>
                <c:pt idx="10">
                  <c:v>3301.5183746871749</c:v>
                </c:pt>
                <c:pt idx="11">
                  <c:v>3906.9855047207293</c:v>
                </c:pt>
                <c:pt idx="12">
                  <c:v>4673.9098074490357</c:v>
                </c:pt>
                <c:pt idx="13">
                  <c:v>5653.0254214838051</c:v>
                </c:pt>
                <c:pt idx="14">
                  <c:v>6907.0228108091496</c:v>
                </c:pt>
                <c:pt idx="15">
                  <c:v>8503.0476204842707</c:v>
                </c:pt>
                <c:pt idx="16">
                  <c:v>10485.415300435598</c:v>
                </c:pt>
                <c:pt idx="17">
                  <c:v>12807.835947756002</c:v>
                </c:pt>
                <c:pt idx="18">
                  <c:v>15214.957065485298</c:v>
                </c:pt>
                <c:pt idx="19">
                  <c:v>17148.729610128245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18745704222425.262</c:v>
                </c:pt>
                <c:pt idx="1">
                  <c:v>18529054406905.484</c:v>
                </c:pt>
                <c:pt idx="2">
                  <c:v>18258027220470.965</c:v>
                </c:pt>
                <c:pt idx="3">
                  <c:v>17916588264297.895</c:v>
                </c:pt>
                <c:pt idx="4">
                  <c:v>17483567802849.82</c:v>
                </c:pt>
                <c:pt idx="5">
                  <c:v>16931146415697.973</c:v>
                </c:pt>
                <c:pt idx="6">
                  <c:v>16223212152917.156</c:v>
                </c:pt>
                <c:pt idx="7">
                  <c:v>15314084939064.623</c:v>
                </c:pt>
                <c:pt idx="8">
                  <c:v>14148853647963.748</c:v>
                </c:pt>
                <c:pt idx="9">
                  <c:v>12668150868582.084</c:v>
                </c:pt>
                <c:pt idx="10">
                  <c:v>10822895534806.344</c:v>
                </c:pt>
                <c:pt idx="11">
                  <c:v>8607828084577.8633</c:v>
                </c:pt>
                <c:pt idx="12">
                  <c:v>6121570789471.2861</c:v>
                </c:pt>
                <c:pt idx="13">
                  <c:v>3638795094775.2456</c:v>
                </c:pt>
                <c:pt idx="14">
                  <c:v>1610244572581.5774</c:v>
                </c:pt>
                <c:pt idx="15">
                  <c:v>432659131016.10626</c:v>
                </c:pt>
                <c:pt idx="16">
                  <c:v>48830550794.93013</c:v>
                </c:pt>
                <c:pt idx="17">
                  <c:v>1158007306.4762259</c:v>
                </c:pt>
                <c:pt idx="18">
                  <c:v>1374825.0443532779</c:v>
                </c:pt>
                <c:pt idx="19">
                  <c:v>1.429682557660197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1131.9716682888645</c:v>
                </c:pt>
                <c:pt idx="1">
                  <c:v>1247.0562056523461</c:v>
                </c:pt>
                <c:pt idx="2">
                  <c:v>1380.1795176915005</c:v>
                </c:pt>
                <c:pt idx="3">
                  <c:v>1535.2040834147231</c:v>
                </c:pt>
                <c:pt idx="4">
                  <c:v>1717.0454244153609</c:v>
                </c:pt>
                <c:pt idx="5">
                  <c:v>1932.0193205944647</c:v>
                </c:pt>
                <c:pt idx="6">
                  <c:v>2188.3208818931107</c:v>
                </c:pt>
                <c:pt idx="7">
                  <c:v>2496.6894296185028</c:v>
                </c:pt>
                <c:pt idx="8">
                  <c:v>2871.333589311891</c:v>
                </c:pt>
                <c:pt idx="9">
                  <c:v>3331.2138698672452</c:v>
                </c:pt>
                <c:pt idx="10">
                  <c:v>3901.7944428121159</c:v>
                </c:pt>
                <c:pt idx="11">
                  <c:v>4617.3465055790439</c:v>
                </c:pt>
                <c:pt idx="12">
                  <c:v>5523.7115906215877</c:v>
                </c:pt>
                <c:pt idx="13">
                  <c:v>6680.848225389951</c:v>
                </c:pt>
                <c:pt idx="14">
                  <c:v>8162.8451400471777</c:v>
                </c:pt>
                <c:pt idx="15">
                  <c:v>10049.056278754138</c:v>
                </c:pt>
                <c:pt idx="16">
                  <c:v>12391.854445969342</c:v>
                </c:pt>
                <c:pt idx="17">
                  <c:v>15136.533392802548</c:v>
                </c:pt>
                <c:pt idx="18">
                  <c:v>17981.312895573534</c:v>
                </c:pt>
                <c:pt idx="19">
                  <c:v>20266.68044833338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17432961550133.51</c:v>
                </c:pt>
                <c:pt idx="1">
                  <c:v>17184990356976.375</c:v>
                </c:pt>
                <c:pt idx="2">
                  <c:v>16876105322384.113</c:v>
                </c:pt>
                <c:pt idx="3">
                  <c:v>16489001089852.191</c:v>
                </c:pt>
                <c:pt idx="4">
                  <c:v>16001222764628.428</c:v>
                </c:pt>
                <c:pt idx="5">
                  <c:v>15383942821246.688</c:v>
                </c:pt>
                <c:pt idx="6">
                  <c:v>14600933894503.914</c:v>
                </c:pt>
                <c:pt idx="7">
                  <c:v>13608521109080.027</c:v>
                </c:pt>
                <c:pt idx="8">
                  <c:v>12358195230615.068</c:v>
                </c:pt>
                <c:pt idx="9">
                  <c:v>10805227803779.389</c:v>
                </c:pt>
                <c:pt idx="10">
                  <c:v>8928896172567.9141</c:v>
                </c:pt>
                <c:pt idx="11">
                  <c:v>6770923125388.1436</c:v>
                </c:pt>
                <c:pt idx="12">
                  <c:v>4490970657883.7686</c:v>
                </c:pt>
                <c:pt idx="13">
                  <c:v>2404735734339.1001</c:v>
                </c:pt>
                <c:pt idx="14">
                  <c:v>906157633602.55762</c:v>
                </c:pt>
                <c:pt idx="15">
                  <c:v>188787559958.73288</c:v>
                </c:pt>
                <c:pt idx="16">
                  <c:v>14067681868.225801</c:v>
                </c:pt>
                <c:pt idx="17">
                  <c:v>165476576.20699486</c:v>
                </c:pt>
                <c:pt idx="18">
                  <c:v>56526.103268945881</c:v>
                </c:pt>
                <c:pt idx="19">
                  <c:v>4.7225518515859226E-3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1306.1211557179208</c:v>
                </c:pt>
                <c:pt idx="1">
                  <c:v>1438.9110065219379</c:v>
                </c:pt>
                <c:pt idx="2">
                  <c:v>1592.5148281055776</c:v>
                </c:pt>
                <c:pt idx="3">
                  <c:v>1771.3893270169881</c:v>
                </c:pt>
                <c:pt idx="4">
                  <c:v>1981.206258940801</c:v>
                </c:pt>
                <c:pt idx="5">
                  <c:v>2229.2530622243821</c:v>
                </c:pt>
                <c:pt idx="6">
                  <c:v>2524.9856329535896</c:v>
                </c:pt>
                <c:pt idx="7">
                  <c:v>2880.7954957136571</c:v>
                </c:pt>
                <c:pt idx="8">
                  <c:v>3313.0772184367979</c:v>
                </c:pt>
                <c:pt idx="9">
                  <c:v>3843.7083113852837</c:v>
                </c:pt>
                <c:pt idx="10">
                  <c:v>4502.0705109370574</c:v>
                </c:pt>
                <c:pt idx="11">
                  <c:v>5327.7075064373585</c:v>
                </c:pt>
                <c:pt idx="12">
                  <c:v>6373.5133737941396</c:v>
                </c:pt>
                <c:pt idx="13">
                  <c:v>7708.671029296097</c:v>
                </c:pt>
                <c:pt idx="14">
                  <c:v>9418.6674692852048</c:v>
                </c:pt>
                <c:pt idx="15">
                  <c:v>11595.064937024006</c:v>
                </c:pt>
                <c:pt idx="16">
                  <c:v>14298.29359150309</c:v>
                </c:pt>
                <c:pt idx="17">
                  <c:v>17465.230837849096</c:v>
                </c:pt>
                <c:pt idx="18">
                  <c:v>20747.66872566177</c:v>
                </c:pt>
                <c:pt idx="19">
                  <c:v>23384.631286538519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16346423252980.426</c:v>
                </c:pt>
                <c:pt idx="1">
                  <c:v>16069028269669.318</c:v>
                </c:pt>
                <c:pt idx="2">
                  <c:v>15724958635548.734</c:v>
                </c:pt>
                <c:pt idx="3">
                  <c:v>15295996627501.74</c:v>
                </c:pt>
                <c:pt idx="4">
                  <c:v>14758938149168.852</c:v>
                </c:pt>
                <c:pt idx="5">
                  <c:v>14084736733710.186</c:v>
                </c:pt>
                <c:pt idx="6">
                  <c:v>13238199881664.018</c:v>
                </c:pt>
                <c:pt idx="7">
                  <c:v>12179254460004.246</c:v>
                </c:pt>
                <c:pt idx="8">
                  <c:v>10867793268026.107</c:v>
                </c:pt>
                <c:pt idx="9">
                  <c:v>9275633597393.4023</c:v>
                </c:pt>
                <c:pt idx="10">
                  <c:v>7410513292242.6777</c:v>
                </c:pt>
                <c:pt idx="11">
                  <c:v>5355187274614.9775</c:v>
                </c:pt>
                <c:pt idx="12">
                  <c:v>3310821726127.8208</c:v>
                </c:pt>
                <c:pt idx="13">
                  <c:v>1595932860709.0276</c:v>
                </c:pt>
                <c:pt idx="14">
                  <c:v>511746212386.9151</c:v>
                </c:pt>
                <c:pt idx="15">
                  <c:v>82610850373.38385</c:v>
                </c:pt>
                <c:pt idx="16">
                  <c:v>4061623233.8671618</c:v>
                </c:pt>
                <c:pt idx="17">
                  <c:v>23683607.739470307</c:v>
                </c:pt>
                <c:pt idx="18">
                  <c:v>2326.6044310038005</c:v>
                </c:pt>
                <c:pt idx="19">
                  <c:v>1.5611219791668268E-5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87.07474371452804</c:v>
                </c:pt>
                <c:pt idx="1">
                  <c:v>95.927400434795871</c:v>
                </c:pt>
                <c:pt idx="2">
                  <c:v>106.16765520703851</c:v>
                </c:pt>
                <c:pt idx="3">
                  <c:v>118.09262180113254</c:v>
                </c:pt>
                <c:pt idx="4">
                  <c:v>132.08041726272006</c:v>
                </c:pt>
                <c:pt idx="5">
                  <c:v>148.61687081495882</c:v>
                </c:pt>
                <c:pt idx="6">
                  <c:v>168.33237553023929</c:v>
                </c:pt>
                <c:pt idx="7">
                  <c:v>192.05303304757714</c:v>
                </c:pt>
                <c:pt idx="8">
                  <c:v>220.87181456245318</c:v>
                </c:pt>
                <c:pt idx="9">
                  <c:v>256.24722075901889</c:v>
                </c:pt>
                <c:pt idx="10">
                  <c:v>300.13803406247047</c:v>
                </c:pt>
                <c:pt idx="11">
                  <c:v>355.18050042915718</c:v>
                </c:pt>
                <c:pt idx="12">
                  <c:v>424.90089158627603</c:v>
                </c:pt>
                <c:pt idx="13">
                  <c:v>513.9114019530731</c:v>
                </c:pt>
                <c:pt idx="14">
                  <c:v>627.91116461901368</c:v>
                </c:pt>
                <c:pt idx="15">
                  <c:v>773.00432913493376</c:v>
                </c:pt>
                <c:pt idx="16">
                  <c:v>953.2195727668726</c:v>
                </c:pt>
                <c:pt idx="17">
                  <c:v>1164.348722523273</c:v>
                </c:pt>
                <c:pt idx="18">
                  <c:v>1383.177915044118</c:v>
                </c:pt>
                <c:pt idx="19">
                  <c:v>1558.9754191025679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48432546047226.344</c:v>
                </c:pt>
                <c:pt idx="1">
                  <c:v>48406810214952.141</c:v>
                </c:pt>
                <c:pt idx="2">
                  <c:v>48373860721529.016</c:v>
                </c:pt>
                <c:pt idx="3">
                  <c:v>48331171950549.328</c:v>
                </c:pt>
                <c:pt idx="4">
                  <c:v>48275145447332.945</c:v>
                </c:pt>
                <c:pt idx="5">
                  <c:v>48200569490717.766</c:v>
                </c:pt>
                <c:pt idx="6">
                  <c:v>48099762281193.969</c:v>
                </c:pt>
                <c:pt idx="7">
                  <c:v>47961187937192.375</c:v>
                </c:pt>
                <c:pt idx="8">
                  <c:v>47767178821436.594</c:v>
                </c:pt>
                <c:pt idx="9">
                  <c:v>47490120086204.953</c:v>
                </c:pt>
                <c:pt idx="10">
                  <c:v>47085960917735.523</c:v>
                </c:pt>
                <c:pt idx="11">
                  <c:v>46483076561967.75</c:v>
                </c:pt>
                <c:pt idx="12">
                  <c:v>45563204715121.047</c:v>
                </c:pt>
                <c:pt idx="13">
                  <c:v>44129738086222.078</c:v>
                </c:pt>
                <c:pt idx="14">
                  <c:v>41859490454342.203</c:v>
                </c:pt>
                <c:pt idx="15">
                  <c:v>38247185523876.219</c:v>
                </c:pt>
                <c:pt idx="16">
                  <c:v>32607632885339.934</c:v>
                </c:pt>
                <c:pt idx="17">
                  <c:v>24350654158287.941</c:v>
                </c:pt>
                <c:pt idx="18">
                  <c:v>13909773114477.473</c:v>
                </c:pt>
                <c:pt idx="19">
                  <c:v>4153406905217.7173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261.22423114358418</c:v>
                </c:pt>
                <c:pt idx="1">
                  <c:v>287.78220130438757</c:v>
                </c:pt>
                <c:pt idx="2">
                  <c:v>318.50296562111555</c:v>
                </c:pt>
                <c:pt idx="3">
                  <c:v>354.27786540339764</c:v>
                </c:pt>
                <c:pt idx="4">
                  <c:v>396.24125178816018</c:v>
                </c:pt>
                <c:pt idx="5">
                  <c:v>445.8506124448765</c:v>
                </c:pt>
                <c:pt idx="6">
                  <c:v>504.99712659071793</c:v>
                </c:pt>
                <c:pt idx="7">
                  <c:v>576.15909914273152</c:v>
                </c:pt>
                <c:pt idx="8">
                  <c:v>662.61544368735963</c:v>
                </c:pt>
                <c:pt idx="9">
                  <c:v>768.74166227705678</c:v>
                </c:pt>
                <c:pt idx="10">
                  <c:v>900.41410218741157</c:v>
                </c:pt>
                <c:pt idx="11">
                  <c:v>1065.5415012874716</c:v>
                </c:pt>
                <c:pt idx="12">
                  <c:v>1274.7026747588279</c:v>
                </c:pt>
                <c:pt idx="13">
                  <c:v>1541.7342058592196</c:v>
                </c:pt>
                <c:pt idx="14">
                  <c:v>1883.7334938570411</c:v>
                </c:pt>
                <c:pt idx="15">
                  <c:v>2319.0129874048012</c:v>
                </c:pt>
                <c:pt idx="16">
                  <c:v>2859.6587183006177</c:v>
                </c:pt>
                <c:pt idx="17">
                  <c:v>3493.0461675698189</c:v>
                </c:pt>
                <c:pt idx="18">
                  <c:v>4149.5337451323539</c:v>
                </c:pt>
                <c:pt idx="19">
                  <c:v>4676.926257307704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31579325952880.414</c:v>
                </c:pt>
                <c:pt idx="1">
                  <c:v>31509859752334.074</c:v>
                </c:pt>
                <c:pt idx="2">
                  <c:v>31421392473210.461</c:v>
                </c:pt>
                <c:pt idx="3">
                  <c:v>31307500229862.605</c:v>
                </c:pt>
                <c:pt idx="4">
                  <c:v>31159165292793.223</c:v>
                </c:pt>
                <c:pt idx="5">
                  <c:v>30963564481233.902</c:v>
                </c:pt>
                <c:pt idx="6">
                  <c:v>30702227123594.094</c:v>
                </c:pt>
                <c:pt idx="7">
                  <c:v>30348218974140.297</c:v>
                </c:pt>
                <c:pt idx="8">
                  <c:v>29861840601784.184</c:v>
                </c:pt>
                <c:pt idx="9">
                  <c:v>29184140950144.801</c:v>
                </c:pt>
                <c:pt idx="10">
                  <c:v>28227494436284.809</c:v>
                </c:pt>
                <c:pt idx="11">
                  <c:v>26863135769753.641</c:v>
                </c:pt>
                <c:pt idx="12">
                  <c:v>24908599475533.645</c:v>
                </c:pt>
                <c:pt idx="13">
                  <c:v>22127901418008.207</c:v>
                </c:pt>
                <c:pt idx="14">
                  <c:v>18282581119187.645</c:v>
                </c:pt>
                <c:pt idx="15">
                  <c:v>13315278700656.143</c:v>
                </c:pt>
                <c:pt idx="16">
                  <c:v>7740520524416.7861</c:v>
                </c:pt>
                <c:pt idx="17">
                  <c:v>2969626171978.54</c:v>
                </c:pt>
                <c:pt idx="18">
                  <c:v>504976770266.58612</c:v>
                </c:pt>
                <c:pt idx="19">
                  <c:v>12435711976.009226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8.png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48189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K24"/>
  <sheetViews>
    <sheetView workbookViewId="0">
      <selection activeCell="E43" sqref="E43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9.7109375" customWidth="1"/>
  </cols>
  <sheetData>
    <row r="1" spans="1:11" x14ac:dyDescent="0.2">
      <c r="A1" s="88" t="s">
        <v>97</v>
      </c>
      <c r="B1" s="88"/>
      <c r="D1" s="88" t="s">
        <v>98</v>
      </c>
      <c r="E1" s="88"/>
      <c r="G1" s="88" t="s">
        <v>99</v>
      </c>
      <c r="H1" s="88"/>
      <c r="J1" s="88" t="s">
        <v>100</v>
      </c>
      <c r="K1" s="88"/>
    </row>
    <row r="2" spans="1:11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37" t="s">
        <v>37</v>
      </c>
      <c r="K2" s="37" t="s">
        <v>38</v>
      </c>
    </row>
    <row r="3" spans="1:11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</row>
    <row r="4" spans="1:11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</row>
    <row r="5" spans="1:11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</row>
    <row r="6" spans="1:11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</row>
    <row r="7" spans="1:11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</row>
    <row r="8" spans="1:11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</row>
    <row r="9" spans="1:11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</row>
    <row r="10" spans="1:11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</row>
    <row r="11" spans="1:11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</row>
    <row r="12" spans="1:11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</row>
    <row r="13" spans="1:11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</row>
    <row r="14" spans="1:11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</row>
    <row r="15" spans="1:11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</row>
    <row r="16" spans="1:11" x14ac:dyDescent="0.2">
      <c r="J16">
        <f>-1*J3</f>
        <v>-2.75</v>
      </c>
      <c r="K16">
        <f>K3</f>
        <v>0</v>
      </c>
    </row>
    <row r="17" spans="7:11" x14ac:dyDescent="0.2">
      <c r="J17">
        <f>J3</f>
        <v>2.75</v>
      </c>
      <c r="K17">
        <f>K3</f>
        <v>0</v>
      </c>
    </row>
    <row r="24" spans="7:11" x14ac:dyDescent="0.2">
      <c r="G24" s="36"/>
    </row>
  </sheetData>
  <mergeCells count="4">
    <mergeCell ref="A1:B1"/>
    <mergeCell ref="D1:E1"/>
    <mergeCell ref="G1:H1"/>
    <mergeCell ref="J1:K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3" t="s">
        <v>24</v>
      </c>
      <c r="B1" s="94"/>
      <c r="C1" s="94"/>
      <c r="D1" s="94"/>
      <c r="E1" s="94"/>
      <c r="F1" s="94"/>
      <c r="G1" s="94"/>
      <c r="H1" s="94"/>
      <c r="I1" s="95"/>
      <c r="J1" s="10"/>
      <c r="K1" s="93" t="s">
        <v>33</v>
      </c>
      <c r="L1" s="94"/>
      <c r="M1" s="94"/>
      <c r="N1" s="94"/>
      <c r="O1" s="94"/>
      <c r="P1" s="94"/>
      <c r="Q1" s="94"/>
      <c r="R1" s="94"/>
      <c r="S1" s="95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89">
        <v>2.4</v>
      </c>
      <c r="F3" s="89"/>
      <c r="G3" s="12"/>
      <c r="H3" s="12"/>
      <c r="I3" s="13"/>
      <c r="K3" s="11"/>
      <c r="L3" s="12"/>
      <c r="M3" s="12"/>
      <c r="N3" s="8" t="s">
        <v>25</v>
      </c>
      <c r="O3" s="89">
        <v>2.4</v>
      </c>
      <c r="P3" s="89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90">
        <f xml:space="preserve"> ROUNDUP((-0.1034*(E3/2)^3 + 0.7783*(E3/2)^2 + 0.109*(E3/2) + 3.1763)*2,2)</f>
        <v>8.5</v>
      </c>
      <c r="F4" s="90"/>
      <c r="G4" s="12"/>
      <c r="H4" s="12"/>
      <c r="I4" s="13"/>
      <c r="K4" s="11"/>
      <c r="L4" s="12"/>
      <c r="M4" s="12"/>
      <c r="N4" s="9" t="s">
        <v>26</v>
      </c>
      <c r="O4" s="90">
        <f xml:space="preserve"> ROUNDUP((-0.00008*(O3/2)^3 + 0.0184*(O3/2)^2 - 0.00008*(O3/2) + 11.542)*2,2)</f>
        <v>23.14</v>
      </c>
      <c r="P4" s="90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91">
        <f>ROUNDUP((-0.045*(E3/2)^3 + 0.3642*(E3/2)^2 + 0.0265*(E3/2) + 1.9042)*2,2)</f>
        <v>4.7699999999999996</v>
      </c>
      <c r="F5" s="92"/>
      <c r="G5" s="12"/>
      <c r="H5" s="12"/>
      <c r="I5" s="13"/>
      <c r="K5" s="11"/>
      <c r="L5" s="12"/>
      <c r="M5" s="12"/>
      <c r="N5" s="9" t="s">
        <v>27</v>
      </c>
      <c r="O5" s="91">
        <f>ROUNDUP((-0.008*(O3/2)^3 + 0.1233*(O3/2)^2 - 0.0051*(O3/2) + 2.8442)*2,2)</f>
        <v>6.01</v>
      </c>
      <c r="P5" s="92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B37" sqref="B37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3" t="s">
        <v>59</v>
      </c>
      <c r="B1" s="95"/>
      <c r="C1" s="42"/>
      <c r="D1" s="42"/>
      <c r="E1" s="39"/>
      <c r="F1" s="39"/>
      <c r="G1" s="39"/>
      <c r="H1" s="40"/>
      <c r="I1" s="40"/>
      <c r="J1" s="41"/>
    </row>
    <row r="2" spans="1:34" x14ac:dyDescent="0.2">
      <c r="A2" s="11"/>
      <c r="B2" s="13"/>
    </row>
    <row r="3" spans="1:34" ht="15" x14ac:dyDescent="0.25">
      <c r="A3" s="43" t="s">
        <v>54</v>
      </c>
      <c r="B3" s="13"/>
      <c r="D3" s="22" t="s">
        <v>62</v>
      </c>
      <c r="I3" s="96">
        <v>1</v>
      </c>
      <c r="J3" s="96"/>
      <c r="K3" s="96"/>
      <c r="L3" s="96"/>
      <c r="M3" s="96"/>
      <c r="N3" s="96">
        <v>3</v>
      </c>
      <c r="O3" s="96"/>
      <c r="P3" s="96"/>
      <c r="Q3" s="96">
        <v>5</v>
      </c>
      <c r="R3" s="96"/>
      <c r="S3" s="96"/>
      <c r="T3" s="96">
        <v>7</v>
      </c>
      <c r="U3" s="96"/>
      <c r="V3" s="96"/>
      <c r="W3" s="96">
        <v>9</v>
      </c>
      <c r="X3" s="96"/>
      <c r="Y3" s="96"/>
      <c r="Z3" s="96">
        <v>11</v>
      </c>
      <c r="AA3" s="96"/>
      <c r="AB3" s="96"/>
      <c r="AC3" s="96">
        <v>13</v>
      </c>
      <c r="AD3" s="96"/>
      <c r="AE3" s="96"/>
      <c r="AF3" s="96">
        <v>15</v>
      </c>
      <c r="AG3" s="96"/>
      <c r="AH3" s="96"/>
    </row>
    <row r="4" spans="1:34" ht="15" x14ac:dyDescent="0.25">
      <c r="A4" s="44" t="s">
        <v>55</v>
      </c>
      <c r="B4" s="45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94</v>
      </c>
      <c r="J4" s="23" t="s">
        <v>95</v>
      </c>
      <c r="K4" s="29" t="s">
        <v>84</v>
      </c>
      <c r="L4" s="29" t="s">
        <v>52</v>
      </c>
      <c r="M4" s="23" t="s">
        <v>85</v>
      </c>
      <c r="N4" s="29" t="s">
        <v>84</v>
      </c>
      <c r="O4" s="29" t="s">
        <v>52</v>
      </c>
      <c r="P4" s="23" t="s">
        <v>85</v>
      </c>
      <c r="Q4" s="29" t="s">
        <v>84</v>
      </c>
      <c r="R4" s="29" t="s">
        <v>52</v>
      </c>
      <c r="S4" s="23" t="s">
        <v>85</v>
      </c>
      <c r="T4" s="29" t="s">
        <v>84</v>
      </c>
      <c r="U4" s="29" t="s">
        <v>52</v>
      </c>
      <c r="V4" s="23" t="s">
        <v>85</v>
      </c>
      <c r="W4" s="29" t="s">
        <v>84</v>
      </c>
      <c r="X4" s="29" t="s">
        <v>52</v>
      </c>
      <c r="Y4" s="23" t="s">
        <v>85</v>
      </c>
      <c r="Z4" s="29" t="s">
        <v>84</v>
      </c>
      <c r="AA4" s="29" t="s">
        <v>52</v>
      </c>
      <c r="AB4" s="23" t="s">
        <v>85</v>
      </c>
      <c r="AC4" s="29" t="s">
        <v>84</v>
      </c>
      <c r="AD4" s="29" t="s">
        <v>52</v>
      </c>
      <c r="AE4" s="23" t="s">
        <v>85</v>
      </c>
      <c r="AF4" s="29" t="s">
        <v>84</v>
      </c>
      <c r="AG4" s="29" t="s">
        <v>52</v>
      </c>
      <c r="AH4" s="23" t="s">
        <v>85</v>
      </c>
    </row>
    <row r="5" spans="1:34" ht="15" x14ac:dyDescent="0.25">
      <c r="A5" s="44" t="s">
        <v>56</v>
      </c>
      <c r="B5" s="45">
        <v>9.1093835599999998E-31</v>
      </c>
      <c r="D5" s="27">
        <v>1</v>
      </c>
      <c r="E5" s="28">
        <f>($B$7*$B$6/(ABS($B$4)*($B$28/1000)/(2*(1/$B$19*1000)^2*$D5)*(1+0.5*$B$32^2)))</f>
        <v>87.07474371452804</v>
      </c>
      <c r="F5" s="28">
        <f>($B$7*$B$6/(ABS($B$4)*($B$28/1000)/(2*(1/$B$19*1000)^2*$D5)*(1+0)))</f>
        <v>1627.9442612551709</v>
      </c>
      <c r="H5" s="24">
        <f>B32</f>
        <v>5.9491076452192457</v>
      </c>
      <c r="I5" s="34">
        <f t="shared" ref="I5:I24" si="0">(($B$28/1000)/(2*$B$20^2)*(1+H5^2/2))</f>
        <v>1.4238824151054139E-8</v>
      </c>
      <c r="J5" s="35">
        <f>H5^2/(4*(1 + 0.5*H5^2))</f>
        <v>0.47325622695233066</v>
      </c>
      <c r="K5" s="30">
        <f t="shared" ref="K5:K24" si="1">($B$7*$B$6/(ABS($B$4)*($B$28/1000)/(2*(1/$B$19*1000)^2*I$3)*(1+0.5*$H5^2)))</f>
        <v>87.07474371452804</v>
      </c>
      <c r="L5" s="31">
        <f>(143100000000000*INT($B$31)*ABS($B$10)*I$3*$H5^2/(1+0.5*$H5^2)*(BESSELJ(I$3*$J5,(I$3+1)/2) - BESSELJ(I$3*$J5,(I$3-1)/2))^2)</f>
        <v>48432546047226.344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8.2618548547060144E+16</v>
      </c>
      <c r="N5" s="30">
        <f>($B$7*$B$6/(ABS($B$4)*($B$28/1000)/(2*(1/$B$19*1000)^2*N$3)*(1+0.5*$H5^2)))</f>
        <v>261.22423114358418</v>
      </c>
      <c r="O5" s="31">
        <f t="shared" ref="O5:O24" si="2">(143100000000000*INT($B$31)*ABS($B$10)*N$3*$H5^2/(1+0.5*$H5^2)*(BESSELJ(N$3*$H5^2/(4+2*$H5^2),(N$3-1)/2) - BESSELJ(N$3*$H5^2/(4+2*$H5^2),(N$3+1)/2))^2)</f>
        <v>31579325952880.414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2.0307261673037533E+17</v>
      </c>
      <c r="Q5" s="30">
        <f>($B$7*$B$6/(ABS($B$4)*($B$28/1000)/(2*(1/$B$19*1000)^2*Q$3)*(1+0.5*$H5^2)))</f>
        <v>435.3737185726402</v>
      </c>
      <c r="R5" s="31">
        <f t="shared" ref="R5:R24" si="4">(143100000000000*INT($B$31)*ABS($B$10)*Q$3*$H5^2/(1+0.5*$H5^2)*(BESSELJ(Q$3*$H5^2/(4+2*$H5^2),(Q$3-1)/2) - BESSELJ(Q$3*$H5^2/(4+2*$H5^2),(Q$3+1)/2))^2)</f>
        <v>25843453059169.164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2.9421931491976352E+17</v>
      </c>
      <c r="T5" s="30">
        <f>($B$7*$B$6/(ABS($B$4)*($B$28/1000)/(2*(1/$B$19*1000)^2*T$3)*(1+0.5*$H5^2)))</f>
        <v>609.52320600169639</v>
      </c>
      <c r="U5" s="31">
        <f>(143100000000000*INT($B$31)*ABS($B$10)*T$3*$H5^2/(1+0.5*$H5^2)*(BESSELJ(T$3*$H5^2/(4+2*$H5^2),(T$3-1)/2) - BESSELJ(T$3*$H5^2/(4+2*$H5^2),(T$3+1)/2))^2)</f>
        <v>22601131563751.25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3.7041439480913696E+17</v>
      </c>
      <c r="W5" s="30">
        <f>($B$7*$B$6/(ABS($B$4)*($B$28/1000)/(2*(1/$B$19*1000)^2*W$3)*(1+0.5*$H5^2)))</f>
        <v>783.67269343075259</v>
      </c>
      <c r="X5" s="31">
        <f>(143100000000000*INT($B$31)*ABS($B$10)*W$3*$H5^2/(1+0.5*$H5^2)*(BESSELJ(W$3*$H5^2/(4+2*$H5^2),(W$3-1)/2) - BESSELJ(W$3*$H5^2/(4+2*$H5^2),(W$3+1)/2))^2)</f>
        <v>20396820431146.328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4.3668761460779642E+17</v>
      </c>
      <c r="Z5" s="30">
        <f>($B$7*$B$6/(ABS($B$4)*($B$28/1000)/(2*(1/$B$19*1000)^2*Z$3)*(1+0.5*$H5^2)))</f>
        <v>957.82218085980855</v>
      </c>
      <c r="AA5" s="31">
        <f>(143100000000000*INT($B$31)*ABS($B$10)*Z$3*$H5^2/(1+0.5*$H5^2)*(BESSELJ(Z$3*$H5^2/(4+2*$H5^2),(Z$3-1)/2) - BESSELJ(Z$3*$H5^2/(4+2*$H5^2),(Z$3+1)/2))^2)</f>
        <v>18745704222425.262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4.9553277494088685E+17</v>
      </c>
      <c r="AC5" s="30">
        <f>($B$7*$B$6/(ABS($B$4)*($B$28/1000)/(2*(1/$B$19*1000)^2*AC$3)*(1+0.5*$H5^2)))</f>
        <v>1131.9716682888645</v>
      </c>
      <c r="AD5" s="31">
        <f>(143100000000000*INT($B$31)*ABS($B$10)*AC$3*$H5^2/(1+0.5*$H5^2)*(BESSELJ(AC$3*$H5^2/(4+2*$H5^2),(AC$3-1)/2) - BESSELJ(AC$3*$H5^2/(4+2*$H5^2),(AC$3+1)/2))^2)</f>
        <v>17432961550133.51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5.4842322655546554E+17</v>
      </c>
      <c r="AF5" s="30">
        <f>($B$7*$B$6/(ABS($B$4)*($B$28/1000)/(2*(1/$B$19*1000)^2*AF$3)*(1+0.5*$H5^2)))</f>
        <v>1306.1211557179208</v>
      </c>
      <c r="AG5" s="31">
        <f>(143100000000000*INT($B$31)*ABS($B$10)*AF$3*$H5^2/(1+0.5*$H5^2)*(BESSELJ(AF$3*$H5^2/(4+2*$H5^2),(AF$3-1)/2) - BESSELJ(AF$3*$H5^2/(4+2*$H5^2),(AF$3+1)/2))^2)</f>
        <v>16346423252980.426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5.9632923646220531E+17</v>
      </c>
    </row>
    <row r="6" spans="1:34" ht="15" x14ac:dyDescent="0.25">
      <c r="A6" s="44" t="s">
        <v>57</v>
      </c>
      <c r="B6" s="45">
        <v>299792458</v>
      </c>
      <c r="D6" s="27">
        <v>3</v>
      </c>
      <c r="E6" s="28">
        <f t="shared" ref="E6:E12" si="11">($B$7*$B$6/(ABS($B$4)*($B$28/1000)/(2*(1/$B$19*1000)^2*$D6)*(1+0.5*$B$32^2)))</f>
        <v>261.22423114358418</v>
      </c>
      <c r="F6" s="28">
        <f t="shared" ref="F6:F12" si="12">($B$7*$B$6/(ABS($B$4)*($B$28/1000)/(2*(1/$B$19*1000)^2*$D6)*(1+0)))</f>
        <v>4883.8327837655124</v>
      </c>
      <c r="H6" s="24">
        <f>-$H$5/20+H5</f>
        <v>5.651652262958283</v>
      </c>
      <c r="I6" s="34">
        <f t="shared" si="0"/>
        <v>1.2924794773230843E-8</v>
      </c>
      <c r="J6" s="35">
        <f t="shared" ref="J6:J24" si="13">H6^2/(4*(1 + 0.5*H6^2))</f>
        <v>0.4705372589474181</v>
      </c>
      <c r="K6" s="30">
        <f t="shared" si="1"/>
        <v>95.927400434795871</v>
      </c>
      <c r="L6" s="31">
        <f t="shared" ref="L6:L24" si="14">(143100000000000*INT($B$31)*ABS($B$10)*I$3*$H6^2/(1+0.5*$H6^2)*(BESSELJ(I$3*$J6,(I$3+1)/2) - BESSELJ(I$3*$J6,(I$3-1)/2))^2)</f>
        <v>48406810214952.141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9.3392447067443232E+16</v>
      </c>
      <c r="N6" s="30">
        <f t="shared" ref="N6:N24" si="16">($B$7*$B$6/(ABS($B$4)*($B$28/1000)/(2*(1/$B$19*1000)^2*N$3)*(1+0.5*$H6^2)))</f>
        <v>287.78220130438757</v>
      </c>
      <c r="O6" s="31">
        <f t="shared" si="2"/>
        <v>31509859752334.074</v>
      </c>
      <c r="P6" s="31">
        <f t="shared" si="3"/>
        <v>2.2622775006743066E+17</v>
      </c>
      <c r="Q6" s="30">
        <f t="shared" ref="Q6:Q24" si="17">($B$7*$B$6/(ABS($B$4)*($B$28/1000)/(2*(1/$B$19*1000)^2*Q$3)*(1+0.5*$H6^2)))</f>
        <v>479.63700217397928</v>
      </c>
      <c r="R6" s="31">
        <f t="shared" si="4"/>
        <v>25733506070144.625</v>
      </c>
      <c r="S6" s="31">
        <f t="shared" si="5"/>
        <v>3.2563173491814816E+17</v>
      </c>
      <c r="T6" s="30">
        <f t="shared" ref="T6:T24" si="18">($B$7*$B$6/(ABS($B$4)*($B$28/1000)/(2*(1/$B$19*1000)^2*T$3)*(1+0.5*$H6^2)))</f>
        <v>671.49180304357105</v>
      </c>
      <c r="U6" s="31">
        <f t="shared" ref="U6:U24" si="19">(143100000000000*INT($B$31)*ABS($B$10)*T$3*$H6^2/(1+0.5*$H6^2)*(BESSELJ(T$3*$H6^2/(4+2*$H6^2),(T$3-1)/2) - BESSELJ(T$3*$H6^2/(4+2*$H6^2),(T$3+1)/2))^2)</f>
        <v>22453328225128.555</v>
      </c>
      <c r="V6" s="31">
        <f t="shared" si="6"/>
        <v>4.0808088080893158E+17</v>
      </c>
      <c r="W6" s="30">
        <f t="shared" ref="W6:W24" si="20">($B$7*$B$6/(ABS($B$4)*($B$28/1000)/(2*(1/$B$19*1000)^2*W$3)*(1+0.5*$H6^2)))</f>
        <v>863.34660391316288</v>
      </c>
      <c r="X6" s="31">
        <f t="shared" ref="X6:X24" si="21">(143100000000000*INT($B$31)*ABS($B$10)*W$3*$H6^2/(1+0.5*$H6^2)*(BESSELJ(W$3*$H6^2/(4+2*$H6^2),(W$3-1)/2) - BESSELJ(W$3*$H6^2/(4+2*$H6^2),(W$3+1)/2))^2)</f>
        <v>20213511559204.691</v>
      </c>
      <c r="Y6" s="31">
        <f t="shared" si="7"/>
        <v>4.7922817501964666E+17</v>
      </c>
      <c r="Z6" s="30">
        <f t="shared" ref="Z6:Z24" si="22">($B$7*$B$6/(ABS($B$4)*($B$28/1000)/(2*(1/$B$19*1000)^2*Z$3)*(1+0.5*$H6^2)))</f>
        <v>1055.2014047827545</v>
      </c>
      <c r="AA6" s="31">
        <f t="shared" ref="AA6:AA24" si="23">(143100000000000*INT($B$31)*ABS($B$10)*Z$3*$H6^2/(1+0.5*$H6^2)*(BESSELJ(Z$3*$H6^2/(4+2*$H6^2),(Z$3-1)/2) - BESSELJ(Z$3*$H6^2/(4+2*$H6^2),(Z$3+1)/2))^2)</f>
        <v>18529054406905.484</v>
      </c>
      <c r="AB6" s="31">
        <f t="shared" si="8"/>
        <v>5.4186852871610458E+17</v>
      </c>
      <c r="AC6" s="30">
        <f t="shared" ref="AC6:AC24" si="24">($B$7*$B$6/(ABS($B$4)*($B$28/1000)/(2*(1/$B$19*1000)^2*AC$3)*(1+0.5*$H6^2)))</f>
        <v>1247.0562056523461</v>
      </c>
      <c r="AD6" s="31">
        <f t="shared" ref="AD6:AD24" si="25">(143100000000000*INT($B$31)*ABS($B$10)*AC$3*$H6^2/(1+0.5*$H6^2)*(BESSELJ(AC$3*$H6^2/(4+2*$H6^2),(AC$3-1)/2) - BESSELJ(AC$3*$H6^2/(4+2*$H6^2),(AC$3+1)/2))^2)</f>
        <v>17184990356976.375</v>
      </c>
      <c r="AE6" s="31">
        <f t="shared" si="9"/>
        <v>5.9765859082286682E+17</v>
      </c>
      <c r="AF6" s="30">
        <f t="shared" ref="AF6:AF24" si="26">($B$7*$B$6/(ABS($B$4)*($B$28/1000)/(2*(1/$B$19*1000)^2*AF$3)*(1+0.5*$H6^2)))</f>
        <v>1438.9110065219379</v>
      </c>
      <c r="AG6" s="31">
        <f t="shared" ref="AG6:AG24" si="27">(143100000000000*INT($B$31)*ABS($B$10)*AF$3*$H6^2/(1+0.5*$H6^2)*(BESSELJ(AF$3*$H6^2/(4+2*$H6^2),(AF$3-1)/2) - BESSELJ(AF$3*$H6^2/(4+2*$H6^2),(AF$3+1)/2))^2)</f>
        <v>16069028269669.318</v>
      </c>
      <c r="AH6" s="31">
        <f t="shared" si="10"/>
        <v>6.4769600272433165E+17</v>
      </c>
    </row>
    <row r="7" spans="1:34" ht="15" x14ac:dyDescent="0.25">
      <c r="A7" s="44" t="s">
        <v>58</v>
      </c>
      <c r="B7" s="45">
        <v>6.6260700399999999E-34</v>
      </c>
      <c r="D7" s="27">
        <v>5</v>
      </c>
      <c r="E7" s="28">
        <f t="shared" si="11"/>
        <v>435.3737185726402</v>
      </c>
      <c r="F7" s="28">
        <f t="shared" si="12"/>
        <v>8139.7213062758537</v>
      </c>
      <c r="H7" s="24">
        <f t="shared" ref="H7:H24" si="28">-$H$5/20+H6</f>
        <v>5.3541968806973204</v>
      </c>
      <c r="I7" s="34">
        <f t="shared" si="0"/>
        <v>1.1678151517347206E-8</v>
      </c>
      <c r="J7" s="35">
        <f t="shared" si="13"/>
        <v>0.46739210987322699</v>
      </c>
      <c r="K7" s="30">
        <f t="shared" si="1"/>
        <v>106.16765520703851</v>
      </c>
      <c r="L7" s="31">
        <f t="shared" si="14"/>
        <v>48373860721529.016</v>
      </c>
      <c r="M7" s="31">
        <f t="shared" si="15"/>
        <v>1.0603500763063538E+17</v>
      </c>
      <c r="N7" s="30">
        <f t="shared" si="16"/>
        <v>318.50296562111555</v>
      </c>
      <c r="O7" s="31">
        <f t="shared" si="2"/>
        <v>31421392473210.461</v>
      </c>
      <c r="P7" s="31">
        <f t="shared" si="3"/>
        <v>2.5293712788894662E+17</v>
      </c>
      <c r="Q7" s="30">
        <f t="shared" si="17"/>
        <v>530.83827603519251</v>
      </c>
      <c r="R7" s="31">
        <f t="shared" si="4"/>
        <v>25594139359740.77</v>
      </c>
      <c r="S7" s="31">
        <f t="shared" si="5"/>
        <v>3.615148951731575E+17</v>
      </c>
      <c r="T7" s="30">
        <f t="shared" si="18"/>
        <v>743.17358644926958</v>
      </c>
      <c r="U7" s="31">
        <f t="shared" si="19"/>
        <v>22266812670255.227</v>
      </c>
      <c r="V7" s="31">
        <f t="shared" si="6"/>
        <v>4.5071188860523341E+17</v>
      </c>
      <c r="W7" s="30">
        <f t="shared" si="20"/>
        <v>955.50889686334676</v>
      </c>
      <c r="X7" s="31">
        <f t="shared" si="21"/>
        <v>19983201269538.137</v>
      </c>
      <c r="Y7" s="31">
        <f t="shared" si="7"/>
        <v>5.2691143958581261E+17</v>
      </c>
      <c r="Z7" s="30">
        <f t="shared" si="22"/>
        <v>1167.8442072774235</v>
      </c>
      <c r="AA7" s="31">
        <f t="shared" si="23"/>
        <v>18258027220470.965</v>
      </c>
      <c r="AB7" s="31">
        <f t="shared" si="8"/>
        <v>5.9327042478075968E+17</v>
      </c>
      <c r="AC7" s="30">
        <f t="shared" si="24"/>
        <v>1380.1795176915005</v>
      </c>
      <c r="AD7" s="31">
        <f t="shared" si="25"/>
        <v>16876105322384.113</v>
      </c>
      <c r="AE7" s="31">
        <f t="shared" si="9"/>
        <v>6.5167177589785664E+17</v>
      </c>
      <c r="AF7" s="30">
        <f t="shared" si="26"/>
        <v>1592.5148281055776</v>
      </c>
      <c r="AG7" s="31">
        <f t="shared" si="27"/>
        <v>15724958635548.734</v>
      </c>
      <c r="AH7" s="31">
        <f t="shared" si="10"/>
        <v>7.0337413997565645E+17</v>
      </c>
    </row>
    <row r="8" spans="1:34" ht="15" x14ac:dyDescent="0.25">
      <c r="A8" s="11"/>
      <c r="B8" s="13"/>
      <c r="D8" s="27">
        <v>7</v>
      </c>
      <c r="E8" s="28">
        <f t="shared" si="11"/>
        <v>609.52320600169639</v>
      </c>
      <c r="F8" s="28">
        <f t="shared" si="12"/>
        <v>11395.609828786197</v>
      </c>
      <c r="H8" s="24">
        <f t="shared" si="28"/>
        <v>5.0567414984363577</v>
      </c>
      <c r="I8" s="34">
        <f t="shared" si="0"/>
        <v>1.0498894383403225E-8</v>
      </c>
      <c r="J8" s="35">
        <f t="shared" si="13"/>
        <v>0.4637295254476092</v>
      </c>
      <c r="K8" s="30">
        <f t="shared" si="1"/>
        <v>118.09262180113254</v>
      </c>
      <c r="L8" s="31">
        <f t="shared" si="14"/>
        <v>48331171950549.328</v>
      </c>
      <c r="M8" s="31">
        <f t="shared" si="15"/>
        <v>1.2095241483789157E+17</v>
      </c>
      <c r="N8" s="30">
        <f t="shared" si="16"/>
        <v>354.27786540339764</v>
      </c>
      <c r="O8" s="31">
        <f t="shared" si="2"/>
        <v>31307500229862.605</v>
      </c>
      <c r="P8" s="31">
        <f t="shared" si="3"/>
        <v>2.8387331455500266E+17</v>
      </c>
      <c r="Q8" s="30">
        <f t="shared" si="17"/>
        <v>590.46310900566266</v>
      </c>
      <c r="R8" s="31">
        <f t="shared" si="4"/>
        <v>25415730679237.531</v>
      </c>
      <c r="S8" s="31">
        <f t="shared" si="5"/>
        <v>4.0259475840719962E+17</v>
      </c>
      <c r="T8" s="30">
        <f t="shared" si="18"/>
        <v>826.6483526079279</v>
      </c>
      <c r="U8" s="31">
        <f t="shared" si="19"/>
        <v>22029340180698.238</v>
      </c>
      <c r="V8" s="31">
        <f t="shared" si="6"/>
        <v>4.9895218353727731E+17</v>
      </c>
      <c r="W8" s="30">
        <f t="shared" si="20"/>
        <v>1062.833596210193</v>
      </c>
      <c r="X8" s="31">
        <f t="shared" si="21"/>
        <v>19691526186057.438</v>
      </c>
      <c r="Y8" s="31">
        <f t="shared" si="7"/>
        <v>5.8020021173679718E+17</v>
      </c>
      <c r="Z8" s="30">
        <f t="shared" si="22"/>
        <v>1299.0188398124581</v>
      </c>
      <c r="AA8" s="31">
        <f t="shared" si="23"/>
        <v>17916588264297.895</v>
      </c>
      <c r="AB8" s="31">
        <f t="shared" si="8"/>
        <v>6.499419680616407E+17</v>
      </c>
      <c r="AC8" s="30">
        <f t="shared" si="24"/>
        <v>1535.2040834147231</v>
      </c>
      <c r="AD8" s="31">
        <f t="shared" si="25"/>
        <v>16489001089852.191</v>
      </c>
      <c r="AE8" s="31">
        <f t="shared" si="9"/>
        <v>7.1034804080110925E+17</v>
      </c>
      <c r="AF8" s="30">
        <f t="shared" si="26"/>
        <v>1771.3893270169881</v>
      </c>
      <c r="AG8" s="31">
        <f t="shared" si="27"/>
        <v>15295996627501.74</v>
      </c>
      <c r="AH8" s="31">
        <f t="shared" si="10"/>
        <v>7.6288691723573773E+17</v>
      </c>
    </row>
    <row r="9" spans="1:34" ht="15" x14ac:dyDescent="0.25">
      <c r="A9" s="44" t="s">
        <v>66</v>
      </c>
      <c r="B9" s="46">
        <v>3</v>
      </c>
      <c r="D9" s="27">
        <v>9</v>
      </c>
      <c r="E9" s="28">
        <f t="shared" si="11"/>
        <v>783.67269343075259</v>
      </c>
      <c r="F9" s="28">
        <f t="shared" si="12"/>
        <v>14651.498351296541</v>
      </c>
      <c r="H9" s="24">
        <f t="shared" si="28"/>
        <v>4.759286116175395</v>
      </c>
      <c r="I9" s="34">
        <f t="shared" si="0"/>
        <v>9.3870233713988977E-9</v>
      </c>
      <c r="J9" s="35">
        <f t="shared" si="13"/>
        <v>0.45943337238067233</v>
      </c>
      <c r="K9" s="30">
        <f t="shared" si="1"/>
        <v>132.08041726272006</v>
      </c>
      <c r="L9" s="31">
        <f t="shared" si="14"/>
        <v>48275145447332.945</v>
      </c>
      <c r="M9" s="31">
        <f t="shared" si="15"/>
        <v>1.3865614375187546E+17</v>
      </c>
      <c r="N9" s="30">
        <f t="shared" si="16"/>
        <v>396.24125178816018</v>
      </c>
      <c r="O9" s="31">
        <f t="shared" si="2"/>
        <v>31159165292793.223</v>
      </c>
      <c r="P9" s="31">
        <f t="shared" si="3"/>
        <v>3.1984384016315437E+17</v>
      </c>
      <c r="Q9" s="30">
        <f t="shared" si="17"/>
        <v>660.40208631360031</v>
      </c>
      <c r="R9" s="31">
        <f t="shared" si="4"/>
        <v>25184966571927.941</v>
      </c>
      <c r="S9" s="31">
        <f t="shared" si="5"/>
        <v>4.4967774582925267E+17</v>
      </c>
      <c r="T9" s="30">
        <f t="shared" si="18"/>
        <v>924.56292083904054</v>
      </c>
      <c r="U9" s="31">
        <f t="shared" si="19"/>
        <v>21724219333756.203</v>
      </c>
      <c r="V9" s="31">
        <f t="shared" si="6"/>
        <v>5.5341885041808243E+17</v>
      </c>
      <c r="W9" s="30">
        <f t="shared" si="20"/>
        <v>1188.7237553644807</v>
      </c>
      <c r="X9" s="31">
        <f t="shared" si="21"/>
        <v>19319209245453.926</v>
      </c>
      <c r="Y9" s="31">
        <f t="shared" si="7"/>
        <v>6.3938578096229722E+17</v>
      </c>
      <c r="Z9" s="30">
        <f t="shared" si="22"/>
        <v>1452.8845898899208</v>
      </c>
      <c r="AA9" s="31">
        <f t="shared" si="23"/>
        <v>17483567802849.82</v>
      </c>
      <c r="AB9" s="31">
        <f t="shared" si="8"/>
        <v>7.1174910484921434E+17</v>
      </c>
      <c r="AC9" s="30">
        <f t="shared" si="24"/>
        <v>1717.0454244153609</v>
      </c>
      <c r="AD9" s="31">
        <f t="shared" si="25"/>
        <v>16001222764628.428</v>
      </c>
      <c r="AE9" s="31">
        <f t="shared" si="9"/>
        <v>7.7305752280023155E+17</v>
      </c>
      <c r="AF9" s="30">
        <f t="shared" si="26"/>
        <v>1981.206258940801</v>
      </c>
      <c r="AG9" s="31">
        <f t="shared" si="27"/>
        <v>14758938149168.852</v>
      </c>
      <c r="AH9" s="31">
        <f t="shared" si="10"/>
        <v>8.2506221134855475E+17</v>
      </c>
    </row>
    <row r="10" spans="1:34" ht="15" x14ac:dyDescent="0.25">
      <c r="A10" s="44" t="s">
        <v>67</v>
      </c>
      <c r="B10" s="46">
        <v>0.35</v>
      </c>
      <c r="D10" s="27">
        <v>11</v>
      </c>
      <c r="E10" s="28">
        <f t="shared" si="11"/>
        <v>957.82218085980855</v>
      </c>
      <c r="F10" s="28">
        <f t="shared" si="12"/>
        <v>17907.386873806878</v>
      </c>
      <c r="H10" s="24">
        <f t="shared" si="28"/>
        <v>4.4618307339144323</v>
      </c>
      <c r="I10" s="34">
        <f t="shared" si="0"/>
        <v>8.3425384813342285E-9</v>
      </c>
      <c r="J10" s="35">
        <f t="shared" si="13"/>
        <v>0.4543544351142671</v>
      </c>
      <c r="K10" s="30">
        <f t="shared" si="1"/>
        <v>148.61687081495882</v>
      </c>
      <c r="L10" s="31">
        <f t="shared" si="14"/>
        <v>48200569490717.766</v>
      </c>
      <c r="M10" s="31">
        <f t="shared" si="15"/>
        <v>1.5979335608205187E+17</v>
      </c>
      <c r="N10" s="30">
        <f t="shared" si="16"/>
        <v>445.8506124448765</v>
      </c>
      <c r="O10" s="31">
        <f t="shared" si="2"/>
        <v>30963564481233.902</v>
      </c>
      <c r="P10" s="31">
        <f t="shared" si="3"/>
        <v>3.6180583936268902E+17</v>
      </c>
      <c r="Q10" s="30">
        <f t="shared" si="17"/>
        <v>743.08435407479396</v>
      </c>
      <c r="R10" s="31">
        <f t="shared" si="4"/>
        <v>24883256747882.324</v>
      </c>
      <c r="S10" s="31">
        <f t="shared" si="5"/>
        <v>5.0360839155931885E+17</v>
      </c>
      <c r="T10" s="30">
        <f t="shared" si="18"/>
        <v>1040.3180957047118</v>
      </c>
      <c r="U10" s="31">
        <f t="shared" si="19"/>
        <v>21328581628989.801</v>
      </c>
      <c r="V10" s="31">
        <f t="shared" si="6"/>
        <v>6.1457983812540659E+17</v>
      </c>
      <c r="W10" s="30">
        <f t="shared" si="20"/>
        <v>1337.5518373346295</v>
      </c>
      <c r="X10" s="31">
        <f t="shared" si="21"/>
        <v>18840365935847.023</v>
      </c>
      <c r="Y10" s="31">
        <f t="shared" si="7"/>
        <v>7.043778960880375E+17</v>
      </c>
      <c r="Z10" s="30">
        <f t="shared" si="22"/>
        <v>1634.7855789645469</v>
      </c>
      <c r="AA10" s="31">
        <f t="shared" si="23"/>
        <v>16931146415697.973</v>
      </c>
      <c r="AB10" s="31">
        <f t="shared" si="8"/>
        <v>7.7792158508601498E+17</v>
      </c>
      <c r="AC10" s="30">
        <f t="shared" si="24"/>
        <v>1932.0193205944647</v>
      </c>
      <c r="AD10" s="31">
        <f t="shared" si="25"/>
        <v>15383942821246.688</v>
      </c>
      <c r="AE10" s="31">
        <f t="shared" si="9"/>
        <v>8.3827508701665638E+17</v>
      </c>
      <c r="AF10" s="30">
        <f t="shared" si="26"/>
        <v>2229.2530622243821</v>
      </c>
      <c r="AG10" s="31">
        <f t="shared" si="27"/>
        <v>14084736733710.186</v>
      </c>
      <c r="AH10" s="31">
        <f t="shared" si="10"/>
        <v>8.8758275931832627E+17</v>
      </c>
    </row>
    <row r="11" spans="1:34" ht="15" x14ac:dyDescent="0.25">
      <c r="A11" s="44" t="s">
        <v>68</v>
      </c>
      <c r="B11" s="46">
        <v>518.38599999999997</v>
      </c>
      <c r="D11" s="27">
        <v>13</v>
      </c>
      <c r="E11" s="28">
        <f t="shared" si="11"/>
        <v>1131.9716682888645</v>
      </c>
      <c r="F11" s="28">
        <f t="shared" si="12"/>
        <v>21163.275396317222</v>
      </c>
      <c r="H11" s="24">
        <f t="shared" si="28"/>
        <v>4.1643753516534696</v>
      </c>
      <c r="I11" s="34">
        <f t="shared" si="0"/>
        <v>7.3654397132092154E-9</v>
      </c>
      <c r="J11" s="35">
        <f t="shared" si="13"/>
        <v>0.44829909735347684</v>
      </c>
      <c r="K11" s="30">
        <f t="shared" si="1"/>
        <v>168.33237553023929</v>
      </c>
      <c r="L11" s="31">
        <f t="shared" si="14"/>
        <v>48099762281193.969</v>
      </c>
      <c r="M11" s="31">
        <f t="shared" si="15"/>
        <v>1.8518553996311488E+17</v>
      </c>
      <c r="N11" s="30">
        <f t="shared" si="16"/>
        <v>504.99712659071793</v>
      </c>
      <c r="O11" s="31">
        <f t="shared" si="2"/>
        <v>30702227123594.094</v>
      </c>
      <c r="P11" s="31">
        <f t="shared" si="3"/>
        <v>4.1086463699298496E+17</v>
      </c>
      <c r="Q11" s="30">
        <f t="shared" si="17"/>
        <v>841.66187765119651</v>
      </c>
      <c r="R11" s="31">
        <f t="shared" si="4"/>
        <v>24484440402426.801</v>
      </c>
      <c r="S11" s="31">
        <f t="shared" si="5"/>
        <v>5.6516501141274893E+17</v>
      </c>
      <c r="T11" s="30">
        <f t="shared" si="18"/>
        <v>1178.3266287116751</v>
      </c>
      <c r="U11" s="31">
        <f t="shared" si="19"/>
        <v>20811033042157.848</v>
      </c>
      <c r="V11" s="31">
        <f t="shared" si="6"/>
        <v>6.8251868799387328E+17</v>
      </c>
      <c r="W11" s="30">
        <f t="shared" si="20"/>
        <v>1514.9913797721538</v>
      </c>
      <c r="X11" s="31">
        <f t="shared" si="21"/>
        <v>18220399874580.621</v>
      </c>
      <c r="Y11" s="31">
        <f t="shared" si="7"/>
        <v>7.7433351130281894E+17</v>
      </c>
      <c r="Z11" s="30">
        <f t="shared" si="22"/>
        <v>1851.656130832632</v>
      </c>
      <c r="AA11" s="31">
        <f t="shared" si="23"/>
        <v>16223212152917.156</v>
      </c>
      <c r="AB11" s="31">
        <f t="shared" si="8"/>
        <v>8.4655686606475149E+17</v>
      </c>
      <c r="AC11" s="30">
        <f t="shared" si="24"/>
        <v>2188.3208818931107</v>
      </c>
      <c r="AD11" s="31">
        <f t="shared" si="25"/>
        <v>14600933894503.914</v>
      </c>
      <c r="AE11" s="31">
        <f t="shared" si="9"/>
        <v>9.0298194279115034E+17</v>
      </c>
      <c r="AF11" s="30">
        <f t="shared" si="26"/>
        <v>2524.9856329535896</v>
      </c>
      <c r="AG11" s="31">
        <f t="shared" si="27"/>
        <v>13238199881664.018</v>
      </c>
      <c r="AH11" s="31">
        <f t="shared" si="10"/>
        <v>9.4631586947241702E+17</v>
      </c>
    </row>
    <row r="12" spans="1:34" ht="15" x14ac:dyDescent="0.25">
      <c r="A12" s="44" t="s">
        <v>69</v>
      </c>
      <c r="B12" s="46">
        <v>864</v>
      </c>
      <c r="D12" s="27">
        <v>15</v>
      </c>
      <c r="E12" s="28">
        <f t="shared" si="11"/>
        <v>1306.1211557179208</v>
      </c>
      <c r="F12" s="28">
        <f t="shared" si="12"/>
        <v>24419.163918827566</v>
      </c>
      <c r="H12" s="24">
        <f t="shared" si="28"/>
        <v>3.8669199693925074</v>
      </c>
      <c r="I12" s="34">
        <f t="shared" si="0"/>
        <v>6.45572706702386E-9</v>
      </c>
      <c r="J12" s="35">
        <f t="shared" si="13"/>
        <v>0.44101363369176372</v>
      </c>
      <c r="K12" s="30">
        <f t="shared" si="1"/>
        <v>192.05303304757714</v>
      </c>
      <c r="L12" s="31">
        <f t="shared" si="14"/>
        <v>47961187937192.375</v>
      </c>
      <c r="M12" s="31">
        <f t="shared" si="15"/>
        <v>2.1587574754558246E+17</v>
      </c>
      <c r="N12" s="30">
        <f t="shared" si="16"/>
        <v>576.15909914273152</v>
      </c>
      <c r="O12" s="31">
        <f t="shared" si="2"/>
        <v>30348218974140.297</v>
      </c>
      <c r="P12" s="31">
        <f t="shared" si="3"/>
        <v>4.6823150150510579E+17</v>
      </c>
      <c r="Q12" s="30">
        <f t="shared" si="17"/>
        <v>960.26516523788575</v>
      </c>
      <c r="R12" s="31">
        <f t="shared" si="4"/>
        <v>23951515728869.574</v>
      </c>
      <c r="S12" s="31">
        <f t="shared" si="5"/>
        <v>6.3483409458511898E+17</v>
      </c>
      <c r="T12" s="30">
        <f t="shared" si="18"/>
        <v>1344.3712313330402</v>
      </c>
      <c r="U12" s="31">
        <f t="shared" si="19"/>
        <v>20128619010469.391</v>
      </c>
      <c r="V12" s="31">
        <f t="shared" si="6"/>
        <v>7.5649732979336026E+17</v>
      </c>
      <c r="W12" s="30">
        <f t="shared" si="20"/>
        <v>1728.4772974281946</v>
      </c>
      <c r="X12" s="31">
        <f t="shared" si="21"/>
        <v>17413686553795.768</v>
      </c>
      <c r="Y12" s="31">
        <f t="shared" si="7"/>
        <v>8.470216691235904E+17</v>
      </c>
      <c r="Z12" s="30">
        <f t="shared" si="22"/>
        <v>2112.5833635233485</v>
      </c>
      <c r="AA12" s="31">
        <f t="shared" si="23"/>
        <v>15314084939064.623</v>
      </c>
      <c r="AB12" s="31">
        <f t="shared" si="8"/>
        <v>9.1382815993264346E+17</v>
      </c>
      <c r="AC12" s="30">
        <f t="shared" si="24"/>
        <v>2496.6894296185028</v>
      </c>
      <c r="AD12" s="31">
        <f t="shared" si="25"/>
        <v>13608521109080.027</v>
      </c>
      <c r="AE12" s="31">
        <f t="shared" si="9"/>
        <v>9.6177439090022374E+17</v>
      </c>
      <c r="AF12" s="30">
        <f t="shared" si="26"/>
        <v>2880.7954957136571</v>
      </c>
      <c r="AG12" s="31">
        <f t="shared" si="27"/>
        <v>12179254460004.246</v>
      </c>
      <c r="AH12" s="31">
        <f t="shared" si="10"/>
        <v>9.9438900105990182E+17</v>
      </c>
    </row>
    <row r="13" spans="1:34" ht="15.75" x14ac:dyDescent="0.25">
      <c r="A13" s="44" t="s">
        <v>70</v>
      </c>
      <c r="B13" s="47">
        <v>11.6</v>
      </c>
      <c r="H13" s="24">
        <f t="shared" si="28"/>
        <v>3.5694645871315451</v>
      </c>
      <c r="I13" s="34">
        <f t="shared" si="0"/>
        <v>5.6134005427781597E-9</v>
      </c>
      <c r="J13" s="35">
        <f t="shared" si="13"/>
        <v>0.43216235352180993</v>
      </c>
      <c r="K13" s="30">
        <f t="shared" si="1"/>
        <v>220.87181456245318</v>
      </c>
      <c r="L13" s="31">
        <f t="shared" si="14"/>
        <v>47767178821436.594</v>
      </c>
      <c r="M13" s="31">
        <f t="shared" si="15"/>
        <v>2.5318146841365184E+17</v>
      </c>
      <c r="N13" s="30">
        <f t="shared" si="16"/>
        <v>662.61544368735963</v>
      </c>
      <c r="O13" s="31">
        <f t="shared" si="2"/>
        <v>29861840601784.184</v>
      </c>
      <c r="P13" s="31">
        <f t="shared" si="3"/>
        <v>5.3508821295219091E+17</v>
      </c>
      <c r="Q13" s="30">
        <f t="shared" si="17"/>
        <v>1104.3590728122658</v>
      </c>
      <c r="R13" s="31">
        <f t="shared" si="4"/>
        <v>23232136566587.691</v>
      </c>
      <c r="S13" s="31">
        <f t="shared" si="5"/>
        <v>7.1235426099957952E+17</v>
      </c>
      <c r="T13" s="30">
        <f t="shared" si="18"/>
        <v>1546.1027019371722</v>
      </c>
      <c r="U13" s="31">
        <f t="shared" si="19"/>
        <v>19223308488836.598</v>
      </c>
      <c r="V13" s="31">
        <f t="shared" si="6"/>
        <v>8.3417377527425203E+17</v>
      </c>
      <c r="W13" s="30">
        <f t="shared" si="20"/>
        <v>1987.8463310620791</v>
      </c>
      <c r="X13" s="31">
        <f t="shared" si="21"/>
        <v>16361781896764.826</v>
      </c>
      <c r="Y13" s="31">
        <f t="shared" si="7"/>
        <v>9.1778409773872013E+17</v>
      </c>
      <c r="Z13" s="30">
        <f t="shared" si="22"/>
        <v>2429.5899601869846</v>
      </c>
      <c r="AA13" s="31">
        <f t="shared" si="23"/>
        <v>14148853647963.748</v>
      </c>
      <c r="AB13" s="31">
        <f t="shared" si="8"/>
        <v>9.7279941719413133E+17</v>
      </c>
      <c r="AC13" s="30">
        <f t="shared" si="24"/>
        <v>2871.333589311891</v>
      </c>
      <c r="AD13" s="31">
        <f t="shared" si="25"/>
        <v>12358195230615.068</v>
      </c>
      <c r="AE13" s="31">
        <f t="shared" si="9"/>
        <v>1.0056633029357965E+18</v>
      </c>
      <c r="AF13" s="30">
        <f t="shared" si="26"/>
        <v>3313.0772184367979</v>
      </c>
      <c r="AG13" s="31">
        <f t="shared" si="27"/>
        <v>10867793268026.107</v>
      </c>
      <c r="AH13" s="31">
        <f t="shared" si="10"/>
        <v>1.0211060092738949E+18</v>
      </c>
    </row>
    <row r="14" spans="1:34" ht="15" x14ac:dyDescent="0.25">
      <c r="A14" s="44" t="s">
        <v>71</v>
      </c>
      <c r="B14" s="47">
        <v>2.5192064617378999E-10</v>
      </c>
      <c r="H14" s="24">
        <f t="shared" si="28"/>
        <v>3.2720092048705829</v>
      </c>
      <c r="I14" s="34">
        <f t="shared" si="0"/>
        <v>4.8384601404721155E-9</v>
      </c>
      <c r="J14" s="35">
        <f t="shared" si="13"/>
        <v>0.42129729903607138</v>
      </c>
      <c r="K14" s="30">
        <f t="shared" si="1"/>
        <v>256.24722075901889</v>
      </c>
      <c r="L14" s="31">
        <f t="shared" si="14"/>
        <v>47490120086204.953</v>
      </c>
      <c r="M14" s="31">
        <f t="shared" si="15"/>
        <v>2.9874100244591891E+17</v>
      </c>
      <c r="N14" s="30">
        <f t="shared" si="16"/>
        <v>768.74166227705678</v>
      </c>
      <c r="O14" s="31">
        <f t="shared" si="2"/>
        <v>29184140950144.801</v>
      </c>
      <c r="P14" s="31">
        <f t="shared" si="3"/>
        <v>6.122507550899031E+17</v>
      </c>
      <c r="Q14" s="30">
        <f t="shared" si="17"/>
        <v>1281.2361037950943</v>
      </c>
      <c r="R14" s="31">
        <f t="shared" si="4"/>
        <v>22252886445882.43</v>
      </c>
      <c r="S14" s="31">
        <f t="shared" si="5"/>
        <v>7.9583809824482906E+17</v>
      </c>
      <c r="T14" s="30">
        <f t="shared" si="18"/>
        <v>1793.7305453131326</v>
      </c>
      <c r="U14" s="31">
        <f t="shared" si="19"/>
        <v>18019032395469.445</v>
      </c>
      <c r="V14" s="31">
        <f t="shared" si="6"/>
        <v>9.1027022615244979E+17</v>
      </c>
      <c r="W14" s="30">
        <f t="shared" si="20"/>
        <v>2306.2249868311701</v>
      </c>
      <c r="X14" s="31">
        <f t="shared" si="21"/>
        <v>14994174587744.854</v>
      </c>
      <c r="Y14" s="31">
        <f t="shared" si="7"/>
        <v>9.7795986223348531E+17</v>
      </c>
      <c r="Z14" s="30">
        <f t="shared" si="22"/>
        <v>2818.7194283492076</v>
      </c>
      <c r="AA14" s="31">
        <f t="shared" si="23"/>
        <v>12668150868582.084</v>
      </c>
      <c r="AB14" s="31">
        <f t="shared" si="8"/>
        <v>1.0118692192181946E+18</v>
      </c>
      <c r="AC14" s="30">
        <f t="shared" si="24"/>
        <v>3331.2138698672452</v>
      </c>
      <c r="AD14" s="31">
        <f t="shared" si="25"/>
        <v>10805227803779.389</v>
      </c>
      <c r="AE14" s="31">
        <f t="shared" si="9"/>
        <v>1.0207993105662546E+18</v>
      </c>
      <c r="AF14" s="30">
        <f t="shared" si="26"/>
        <v>3843.7083113852837</v>
      </c>
      <c r="AG14" s="31">
        <f t="shared" si="27"/>
        <v>9275633597393.4023</v>
      </c>
      <c r="AH14" s="31">
        <f t="shared" si="10"/>
        <v>1.0111845801105373E+18</v>
      </c>
    </row>
    <row r="15" spans="1:34" ht="15" x14ac:dyDescent="0.25">
      <c r="A15" s="44" t="s">
        <v>72</v>
      </c>
      <c r="B15" s="46">
        <v>0.01</v>
      </c>
      <c r="H15" s="24">
        <f t="shared" si="28"/>
        <v>2.9745538226096206</v>
      </c>
      <c r="I15" s="34">
        <f t="shared" si="0"/>
        <v>4.1309058601057272E-9</v>
      </c>
      <c r="J15" s="35">
        <f t="shared" si="13"/>
        <v>0.40781685798288347</v>
      </c>
      <c r="K15" s="30">
        <f t="shared" si="1"/>
        <v>300.13803406247047</v>
      </c>
      <c r="L15" s="31">
        <f t="shared" si="14"/>
        <v>47085960917735.523</v>
      </c>
      <c r="M15" s="31">
        <f t="shared" si="15"/>
        <v>3.5451776173192819E+17</v>
      </c>
      <c r="N15" s="30">
        <f t="shared" si="16"/>
        <v>900.41410218741157</v>
      </c>
      <c r="O15" s="31">
        <f t="shared" si="2"/>
        <v>28227494436284.809</v>
      </c>
      <c r="P15" s="31">
        <f t="shared" si="3"/>
        <v>6.9941809219926758E+17</v>
      </c>
      <c r="Q15" s="30">
        <f t="shared" si="17"/>
        <v>1500.6901703123522</v>
      </c>
      <c r="R15" s="31">
        <f t="shared" si="4"/>
        <v>20913361103011.68</v>
      </c>
      <c r="S15" s="31">
        <f t="shared" si="5"/>
        <v>8.8016745329465254E+17</v>
      </c>
      <c r="T15" s="30">
        <f t="shared" si="18"/>
        <v>2100.9662384372937</v>
      </c>
      <c r="U15" s="31">
        <f t="shared" si="19"/>
        <v>16422178353880.434</v>
      </c>
      <c r="V15" s="31">
        <f t="shared" si="6"/>
        <v>9.7447863738581171E+17</v>
      </c>
      <c r="W15" s="30">
        <f t="shared" si="20"/>
        <v>2701.2423065622347</v>
      </c>
      <c r="X15" s="31">
        <f t="shared" si="21"/>
        <v>13236218860170.279</v>
      </c>
      <c r="Y15" s="31">
        <f t="shared" si="7"/>
        <v>1.0128505670176436E+18</v>
      </c>
      <c r="Z15" s="30">
        <f t="shared" si="22"/>
        <v>3301.5183746871749</v>
      </c>
      <c r="AA15" s="31">
        <f t="shared" si="23"/>
        <v>10822895534806.344</v>
      </c>
      <c r="AB15" s="31">
        <f t="shared" si="8"/>
        <v>1.0133303549748767E+18</v>
      </c>
      <c r="AC15" s="30">
        <f t="shared" si="24"/>
        <v>3901.7944428121159</v>
      </c>
      <c r="AD15" s="31">
        <f t="shared" si="25"/>
        <v>8928896172567.9141</v>
      </c>
      <c r="AE15" s="31">
        <f t="shared" si="9"/>
        <v>9.8807073010121754E+17</v>
      </c>
      <c r="AF15" s="30">
        <f t="shared" si="26"/>
        <v>4502.0705109370574</v>
      </c>
      <c r="AG15" s="31">
        <f t="shared" si="27"/>
        <v>7410513292242.6777</v>
      </c>
      <c r="AH15" s="31">
        <f t="shared" si="10"/>
        <v>9.4569671340513062E+17</v>
      </c>
    </row>
    <row r="16" spans="1:34" ht="15" x14ac:dyDescent="0.25">
      <c r="A16" s="44" t="s">
        <v>73</v>
      </c>
      <c r="B16" s="46">
        <v>8.4666891478398995E-4</v>
      </c>
      <c r="D16" s="4"/>
      <c r="H16" s="24">
        <f t="shared" si="28"/>
        <v>2.6770984403486584</v>
      </c>
      <c r="I16" s="34">
        <f t="shared" si="0"/>
        <v>3.4907377016789955E-9</v>
      </c>
      <c r="J16" s="35">
        <f t="shared" si="13"/>
        <v>0.3909113447915879</v>
      </c>
      <c r="K16" s="30">
        <f t="shared" si="1"/>
        <v>355.18050042915718</v>
      </c>
      <c r="L16" s="31">
        <f t="shared" si="14"/>
        <v>46483076561967.75</v>
      </c>
      <c r="M16" s="31">
        <f t="shared" si="15"/>
        <v>4.2266965324828416E+17</v>
      </c>
      <c r="N16" s="30">
        <f t="shared" si="16"/>
        <v>1065.5415012874716</v>
      </c>
      <c r="O16" s="31">
        <f t="shared" si="2"/>
        <v>26863135769753.641</v>
      </c>
      <c r="P16" s="31">
        <f t="shared" si="3"/>
        <v>7.9360652689711923E+17</v>
      </c>
      <c r="Q16" s="30">
        <f t="shared" si="17"/>
        <v>1775.9025021457858</v>
      </c>
      <c r="R16" s="31">
        <f t="shared" si="4"/>
        <v>19084095648699.277</v>
      </c>
      <c r="S16" s="31">
        <f t="shared" si="5"/>
        <v>9.5429413307220787E+17</v>
      </c>
      <c r="T16" s="30">
        <f t="shared" si="18"/>
        <v>2486.2635030041006</v>
      </c>
      <c r="U16" s="31">
        <f t="shared" si="19"/>
        <v>14333453268260.094</v>
      </c>
      <c r="V16" s="31">
        <f t="shared" si="6"/>
        <v>1.0087338193267172E+18</v>
      </c>
      <c r="W16" s="30">
        <f t="shared" si="20"/>
        <v>3196.6245038624156</v>
      </c>
      <c r="X16" s="31">
        <f t="shared" si="21"/>
        <v>11033474985643.943</v>
      </c>
      <c r="Y16" s="31">
        <f t="shared" si="7"/>
        <v>1.0001235813049347E+18</v>
      </c>
      <c r="Z16" s="30">
        <f t="shared" si="22"/>
        <v>3906.9855047207293</v>
      </c>
      <c r="AA16" s="31">
        <f t="shared" si="23"/>
        <v>8607828084577.8633</v>
      </c>
      <c r="AB16" s="31">
        <f t="shared" si="8"/>
        <v>9.538063217265577E+17</v>
      </c>
      <c r="AC16" s="30">
        <f t="shared" si="24"/>
        <v>4617.3465055790439</v>
      </c>
      <c r="AD16" s="31">
        <f t="shared" si="25"/>
        <v>6770923125388.1436</v>
      </c>
      <c r="AE16" s="31">
        <f t="shared" si="9"/>
        <v>8.8606346194315034E+17</v>
      </c>
      <c r="AF16" s="30">
        <f t="shared" si="26"/>
        <v>5327.7075064373585</v>
      </c>
      <c r="AG16" s="31">
        <f t="shared" si="27"/>
        <v>5355187274614.9775</v>
      </c>
      <c r="AH16" s="31">
        <f t="shared" si="10"/>
        <v>8.076346491050112E+17</v>
      </c>
    </row>
    <row r="17" spans="1:34" ht="15" x14ac:dyDescent="0.25">
      <c r="A17" s="44" t="s">
        <v>74</v>
      </c>
      <c r="B17" s="46">
        <v>1.357</v>
      </c>
      <c r="H17" s="24">
        <f t="shared" si="28"/>
        <v>2.3796430580876962</v>
      </c>
      <c r="I17" s="34">
        <f t="shared" si="0"/>
        <v>2.9179556651919197E-9</v>
      </c>
      <c r="J17" s="35">
        <f t="shared" si="13"/>
        <v>0.36949771509416712</v>
      </c>
      <c r="K17" s="30">
        <f t="shared" si="1"/>
        <v>424.90089158627603</v>
      </c>
      <c r="L17" s="31">
        <f t="shared" si="14"/>
        <v>45563204715121.047</v>
      </c>
      <c r="M17" s="31">
        <f t="shared" si="15"/>
        <v>5.0505608153202054E+17</v>
      </c>
      <c r="N17" s="30">
        <f t="shared" si="16"/>
        <v>1274.7026747588279</v>
      </c>
      <c r="O17" s="31">
        <f t="shared" si="2"/>
        <v>24908599475533.645</v>
      </c>
      <c r="P17" s="31">
        <f t="shared" si="3"/>
        <v>8.8612378987319322E+17</v>
      </c>
      <c r="Q17" s="30">
        <f t="shared" si="17"/>
        <v>2124.5044579313794</v>
      </c>
      <c r="R17" s="31">
        <f t="shared" si="4"/>
        <v>16619548910323.994</v>
      </c>
      <c r="S17" s="31">
        <f t="shared" si="5"/>
        <v>9.9741064296105997E+17</v>
      </c>
      <c r="T17" s="30">
        <f t="shared" si="18"/>
        <v>2974.3062411039323</v>
      </c>
      <c r="U17" s="31">
        <f t="shared" si="19"/>
        <v>11686042925856.533</v>
      </c>
      <c r="V17" s="31">
        <f t="shared" si="6"/>
        <v>9.8527999803539238E+17</v>
      </c>
      <c r="W17" s="30">
        <f t="shared" si="20"/>
        <v>3824.1080242764842</v>
      </c>
      <c r="X17" s="31">
        <f t="shared" si="21"/>
        <v>8406372533551.3818</v>
      </c>
      <c r="Y17" s="31">
        <f t="shared" si="7"/>
        <v>9.117551105723968E+17</v>
      </c>
      <c r="Z17" s="30">
        <f t="shared" si="22"/>
        <v>4673.9098074490357</v>
      </c>
      <c r="AA17" s="31">
        <f t="shared" si="23"/>
        <v>6121570789471.2861</v>
      </c>
      <c r="AB17" s="31">
        <f t="shared" si="8"/>
        <v>8.1083550774210662E+17</v>
      </c>
      <c r="AC17" s="30">
        <f t="shared" si="24"/>
        <v>5523.7115906215877</v>
      </c>
      <c r="AD17" s="31">
        <f t="shared" si="25"/>
        <v>4490970657883.7686</v>
      </c>
      <c r="AE17" s="31">
        <f t="shared" si="9"/>
        <v>7.0193785018266483E+17</v>
      </c>
      <c r="AF17" s="30">
        <f t="shared" si="26"/>
        <v>6373.5133737941396</v>
      </c>
      <c r="AG17" s="31">
        <f t="shared" si="27"/>
        <v>3310821726127.8208</v>
      </c>
      <c r="AH17" s="31">
        <f t="shared" si="10"/>
        <v>5.9592982276322509E+17</v>
      </c>
    </row>
    <row r="18" spans="1:34" ht="15" x14ac:dyDescent="0.25">
      <c r="A18" s="44" t="s">
        <v>75</v>
      </c>
      <c r="B18" s="46">
        <v>1.6</v>
      </c>
      <c r="H18" s="24">
        <f t="shared" si="28"/>
        <v>2.0821876758267339</v>
      </c>
      <c r="I18" s="34">
        <f t="shared" si="0"/>
        <v>2.4125597506445E-9</v>
      </c>
      <c r="J18" s="35">
        <f t="shared" si="13"/>
        <v>0.34215939876318635</v>
      </c>
      <c r="K18" s="30">
        <f t="shared" si="1"/>
        <v>513.9114019530731</v>
      </c>
      <c r="L18" s="31">
        <f t="shared" si="14"/>
        <v>44129738086222.078</v>
      </c>
      <c r="M18" s="31">
        <f t="shared" si="15"/>
        <v>6.0185774992103053E+17</v>
      </c>
      <c r="N18" s="30">
        <f t="shared" si="16"/>
        <v>1541.7342058592196</v>
      </c>
      <c r="O18" s="31">
        <f t="shared" si="2"/>
        <v>22127901418008.207</v>
      </c>
      <c r="P18" s="31">
        <f t="shared" si="3"/>
        <v>9.5743247622896998E+17</v>
      </c>
      <c r="Q18" s="30">
        <f t="shared" si="17"/>
        <v>2569.5570097653658</v>
      </c>
      <c r="R18" s="31">
        <f t="shared" si="4"/>
        <v>13412500944437.41</v>
      </c>
      <c r="S18" s="31">
        <f t="shared" si="5"/>
        <v>9.7586920997583578E+17</v>
      </c>
      <c r="T18" s="30">
        <f t="shared" si="18"/>
        <v>3597.3798136715127</v>
      </c>
      <c r="U18" s="31">
        <f t="shared" si="19"/>
        <v>8533352237089.251</v>
      </c>
      <c r="V18" s="31">
        <f t="shared" si="6"/>
        <v>8.7067750789521766E+17</v>
      </c>
      <c r="W18" s="30">
        <f t="shared" si="20"/>
        <v>4625.2026175776591</v>
      </c>
      <c r="X18" s="31">
        <f t="shared" si="21"/>
        <v>5542119311057.5029</v>
      </c>
      <c r="Y18" s="31">
        <f t="shared" si="7"/>
        <v>7.2648448410853286E+17</v>
      </c>
      <c r="Z18" s="30">
        <f t="shared" si="22"/>
        <v>5653.0254214838051</v>
      </c>
      <c r="AA18" s="31">
        <f t="shared" si="23"/>
        <v>3638795094775.2456</v>
      </c>
      <c r="AB18" s="31">
        <f t="shared" si="8"/>
        <v>5.818980251227095E+17</v>
      </c>
      <c r="AC18" s="30">
        <f t="shared" si="24"/>
        <v>6680.848225389951</v>
      </c>
      <c r="AD18" s="31">
        <f t="shared" si="25"/>
        <v>2404735734339.1001</v>
      </c>
      <c r="AE18" s="31">
        <f t="shared" si="9"/>
        <v>4.5335845224992826E+17</v>
      </c>
      <c r="AF18" s="30">
        <f t="shared" si="26"/>
        <v>7708.671029296097</v>
      </c>
      <c r="AG18" s="31">
        <f t="shared" si="27"/>
        <v>1595932860709.0276</v>
      </c>
      <c r="AH18" s="31">
        <f t="shared" si="10"/>
        <v>3.4619674130851603E+17</v>
      </c>
    </row>
    <row r="19" spans="1:34" ht="15" x14ac:dyDescent="0.25">
      <c r="A19" s="44" t="s">
        <v>76</v>
      </c>
      <c r="B19" s="48">
        <f>ABS(1/(B9*1000000000*B4/(B5*B6^2)))*1000</f>
        <v>0.17033298068619876</v>
      </c>
      <c r="H19" s="24">
        <f t="shared" si="28"/>
        <v>1.7847322935657717</v>
      </c>
      <c r="I19" s="34">
        <f t="shared" si="0"/>
        <v>1.9745499580367362E-9</v>
      </c>
      <c r="J19" s="35">
        <f t="shared" si="13"/>
        <v>0.30714598786850228</v>
      </c>
      <c r="K19" s="30">
        <f t="shared" si="1"/>
        <v>627.91116461901368</v>
      </c>
      <c r="L19" s="31">
        <f t="shared" si="14"/>
        <v>41859490454342.203</v>
      </c>
      <c r="M19" s="31">
        <f t="shared" si="15"/>
        <v>7.0821348851496282E+17</v>
      </c>
      <c r="N19" s="30">
        <f t="shared" si="16"/>
        <v>1883.7334938570411</v>
      </c>
      <c r="O19" s="31">
        <f t="shared" si="2"/>
        <v>18282581119187.645</v>
      </c>
      <c r="P19" s="31">
        <f t="shared" si="3"/>
        <v>9.7086720348082458E+17</v>
      </c>
      <c r="Q19" s="30">
        <f t="shared" si="17"/>
        <v>3139.5558230950683</v>
      </c>
      <c r="R19" s="31">
        <f t="shared" si="4"/>
        <v>9530755630747.0273</v>
      </c>
      <c r="S19" s="31">
        <f t="shared" si="5"/>
        <v>8.4842855473501107E+17</v>
      </c>
      <c r="T19" s="30">
        <f t="shared" si="18"/>
        <v>4395.3781523330963</v>
      </c>
      <c r="U19" s="31">
        <f t="shared" si="19"/>
        <v>5189556521088.2324</v>
      </c>
      <c r="V19" s="31">
        <f t="shared" si="6"/>
        <v>6.4665715980512154E+17</v>
      </c>
      <c r="W19" s="30">
        <f t="shared" si="20"/>
        <v>5651.2004815711243</v>
      </c>
      <c r="X19" s="31">
        <f t="shared" si="21"/>
        <v>2877250660183.6069</v>
      </c>
      <c r="Y19" s="31">
        <f t="shared" si="7"/>
        <v>4.5996889694636653E+17</v>
      </c>
      <c r="Z19" s="30">
        <f t="shared" si="22"/>
        <v>6907.0228108091496</v>
      </c>
      <c r="AA19" s="31">
        <f t="shared" si="23"/>
        <v>1610244572581.5774</v>
      </c>
      <c r="AB19" s="31">
        <f t="shared" si="8"/>
        <v>3.1366684216555514E+17</v>
      </c>
      <c r="AC19" s="30">
        <f t="shared" si="24"/>
        <v>8162.8451400471777</v>
      </c>
      <c r="AD19" s="31">
        <f t="shared" si="25"/>
        <v>906157633602.55762</v>
      </c>
      <c r="AE19" s="31">
        <f t="shared" si="9"/>
        <v>2.0787684583425795E+17</v>
      </c>
      <c r="AF19" s="30">
        <f t="shared" si="26"/>
        <v>9418.6674692852048</v>
      </c>
      <c r="AG19" s="31">
        <f t="shared" si="27"/>
        <v>511746212386.9151</v>
      </c>
      <c r="AH19" s="31">
        <f t="shared" si="10"/>
        <v>1.3494785034482776E+17</v>
      </c>
    </row>
    <row r="20" spans="1:34" ht="15" x14ac:dyDescent="0.25">
      <c r="A20" s="44" t="s">
        <v>77</v>
      </c>
      <c r="B20" s="48">
        <f>1/B19*1000</f>
        <v>5870.853641916131</v>
      </c>
      <c r="H20" s="24">
        <f t="shared" si="28"/>
        <v>1.4872769113048094</v>
      </c>
      <c r="I20" s="34">
        <f t="shared" si="0"/>
        <v>1.6039262873686285E-9</v>
      </c>
      <c r="J20" s="35">
        <f t="shared" si="13"/>
        <v>0.26258267941589863</v>
      </c>
      <c r="K20" s="30">
        <f t="shared" si="1"/>
        <v>773.00432913493376</v>
      </c>
      <c r="L20" s="31">
        <f t="shared" si="14"/>
        <v>38247185523876.219</v>
      </c>
      <c r="M20" s="31">
        <f t="shared" si="15"/>
        <v>8.0708618350214682E+17</v>
      </c>
      <c r="N20" s="30">
        <f t="shared" si="16"/>
        <v>2319.0129874048012</v>
      </c>
      <c r="O20" s="31">
        <f t="shared" si="2"/>
        <v>13315278700656.143</v>
      </c>
      <c r="P20" s="31">
        <f t="shared" si="3"/>
        <v>8.7333480289396109E+17</v>
      </c>
      <c r="Q20" s="30">
        <f t="shared" si="17"/>
        <v>3865.0216456746684</v>
      </c>
      <c r="R20" s="31">
        <f t="shared" si="4"/>
        <v>5443142061747.3262</v>
      </c>
      <c r="S20" s="31">
        <f t="shared" si="5"/>
        <v>5.9667033656923418E+17</v>
      </c>
      <c r="T20" s="30">
        <f t="shared" si="18"/>
        <v>5411.0303039445371</v>
      </c>
      <c r="U20" s="31">
        <f t="shared" si="19"/>
        <v>2310744305856.7383</v>
      </c>
      <c r="V20" s="31">
        <f t="shared" si="6"/>
        <v>3.5388299544463718E+17</v>
      </c>
      <c r="W20" s="30">
        <f t="shared" si="20"/>
        <v>6957.0389622144057</v>
      </c>
      <c r="X20" s="31">
        <f t="shared" si="21"/>
        <v>996021677989.96326</v>
      </c>
      <c r="Y20" s="31">
        <f t="shared" si="7"/>
        <v>1.9539858988510346E+17</v>
      </c>
      <c r="Z20" s="30">
        <f t="shared" si="22"/>
        <v>8503.0476204842707</v>
      </c>
      <c r="AA20" s="31">
        <f t="shared" si="23"/>
        <v>432659131016.10626</v>
      </c>
      <c r="AB20" s="31">
        <f t="shared" si="8"/>
        <v>1.0328711025451301E+17</v>
      </c>
      <c r="AC20" s="30">
        <f t="shared" si="24"/>
        <v>10049.056278754138</v>
      </c>
      <c r="AD20" s="31">
        <f t="shared" si="25"/>
        <v>188787559958.73288</v>
      </c>
      <c r="AE20" s="31">
        <f t="shared" si="9"/>
        <v>5.3011524687351792E+16</v>
      </c>
      <c r="AF20" s="30">
        <f t="shared" si="26"/>
        <v>11595.064937024006</v>
      </c>
      <c r="AG20" s="31">
        <f t="shared" si="27"/>
        <v>82610850373.38385</v>
      </c>
      <c r="AH20" s="31">
        <f t="shared" si="10"/>
        <v>2.6634662894758472E+16</v>
      </c>
    </row>
    <row r="21" spans="1:34" ht="15" x14ac:dyDescent="0.25">
      <c r="A21" s="44" t="s">
        <v>78</v>
      </c>
      <c r="B21" s="49">
        <v>1.84E-2</v>
      </c>
      <c r="H21" s="24">
        <f t="shared" si="28"/>
        <v>1.1898215290438472</v>
      </c>
      <c r="I21" s="34">
        <f t="shared" si="0"/>
        <v>1.3006887386401769E-9</v>
      </c>
      <c r="J21" s="35">
        <f t="shared" si="13"/>
        <v>0.20723212229885404</v>
      </c>
      <c r="K21" s="30">
        <f t="shared" si="1"/>
        <v>953.2195727668726</v>
      </c>
      <c r="L21" s="31">
        <f t="shared" si="14"/>
        <v>32607632885339.934</v>
      </c>
      <c r="M21" s="31">
        <f t="shared" si="15"/>
        <v>8.5763482983657856E+17</v>
      </c>
      <c r="N21" s="30">
        <f t="shared" si="16"/>
        <v>2859.6587183006177</v>
      </c>
      <c r="O21" s="31">
        <f t="shared" si="2"/>
        <v>7740520524416.7861</v>
      </c>
      <c r="P21" s="31">
        <f t="shared" si="3"/>
        <v>6.2731634042007027E+17</v>
      </c>
      <c r="Q21" s="30">
        <f t="shared" si="17"/>
        <v>4766.0978638343622</v>
      </c>
      <c r="R21" s="31">
        <f t="shared" si="4"/>
        <v>2114642828448.2825</v>
      </c>
      <c r="S21" s="31">
        <f t="shared" si="5"/>
        <v>2.8558130404668602E+17</v>
      </c>
      <c r="T21" s="30">
        <f t="shared" si="18"/>
        <v>6672.5370093681086</v>
      </c>
      <c r="U21" s="31">
        <f t="shared" si="19"/>
        <v>596068822733.06189</v>
      </c>
      <c r="V21" s="31">
        <f t="shared" si="6"/>
        <v>1.122378820655777E+17</v>
      </c>
      <c r="W21" s="30">
        <f t="shared" si="20"/>
        <v>8578.9761549018549</v>
      </c>
      <c r="X21" s="31">
        <f t="shared" si="21"/>
        <v>170087279027.99731</v>
      </c>
      <c r="Y21" s="31">
        <f t="shared" si="7"/>
        <v>4.0957629609169152E+16</v>
      </c>
      <c r="Z21" s="30">
        <f t="shared" si="22"/>
        <v>10485.415300435598</v>
      </c>
      <c r="AA21" s="31">
        <f t="shared" si="23"/>
        <v>48830550794.93013</v>
      </c>
      <c r="AB21" s="31">
        <f t="shared" si="8"/>
        <v>1.4287377831899048E+16</v>
      </c>
      <c r="AC21" s="30">
        <f t="shared" si="24"/>
        <v>12391.854445969342</v>
      </c>
      <c r="AD21" s="31">
        <f t="shared" si="25"/>
        <v>14067681868.225801</v>
      </c>
      <c r="AE21" s="31">
        <f t="shared" si="9"/>
        <v>4834783223686693</v>
      </c>
      <c r="AF21" s="30">
        <f t="shared" si="26"/>
        <v>14298.29359150309</v>
      </c>
      <c r="AG21" s="31">
        <f t="shared" si="27"/>
        <v>4061623233.8671618</v>
      </c>
      <c r="AH21" s="31">
        <f t="shared" si="10"/>
        <v>1600652452042178.8</v>
      </c>
    </row>
    <row r="22" spans="1:34" ht="15" x14ac:dyDescent="0.25">
      <c r="A22" s="44" t="s">
        <v>79</v>
      </c>
      <c r="B22" s="49">
        <v>1.9980000000000002E-3</v>
      </c>
      <c r="H22" s="24">
        <f t="shared" si="28"/>
        <v>0.89236614678288495</v>
      </c>
      <c r="I22" s="34">
        <f t="shared" si="0"/>
        <v>1.064837311851381E-9</v>
      </c>
      <c r="J22" s="35">
        <f t="shared" si="13"/>
        <v>0.14238679719121902</v>
      </c>
      <c r="K22" s="30">
        <f t="shared" si="1"/>
        <v>1164.348722523273</v>
      </c>
      <c r="L22" s="31">
        <f t="shared" si="14"/>
        <v>24350654158287.941</v>
      </c>
      <c r="M22" s="31">
        <f t="shared" si="15"/>
        <v>7.8878731863952768E+17</v>
      </c>
      <c r="N22" s="30">
        <f t="shared" si="16"/>
        <v>3493.0461675698189</v>
      </c>
      <c r="O22" s="31">
        <f t="shared" si="2"/>
        <v>2969626171978.54</v>
      </c>
      <c r="P22" s="31">
        <f t="shared" si="3"/>
        <v>2.9420329377037664E+17</v>
      </c>
      <c r="Q22" s="30">
        <f t="shared" si="17"/>
        <v>5821.7436126163648</v>
      </c>
      <c r="R22" s="31">
        <f t="shared" si="4"/>
        <v>407321808662.99323</v>
      </c>
      <c r="S22" s="31">
        <f t="shared" si="5"/>
        <v>6.705603635475636E+16</v>
      </c>
      <c r="T22" s="30">
        <f t="shared" si="18"/>
        <v>8150.4410576629125</v>
      </c>
      <c r="U22" s="31">
        <f t="shared" si="19"/>
        <v>57259242321.844017</v>
      </c>
      <c r="V22" s="31">
        <f t="shared" si="6"/>
        <v>1.3116055191390362E+16</v>
      </c>
      <c r="W22" s="30">
        <f t="shared" si="20"/>
        <v>10479.13850270946</v>
      </c>
      <c r="X22" s="31">
        <f t="shared" si="21"/>
        <v>8124455394.1267586</v>
      </c>
      <c r="Y22" s="31">
        <f t="shared" si="7"/>
        <v>2375766353616858.5</v>
      </c>
      <c r="Z22" s="30">
        <f t="shared" si="22"/>
        <v>12807.835947756002</v>
      </c>
      <c r="AA22" s="31">
        <f t="shared" si="23"/>
        <v>1158007306.4762259</v>
      </c>
      <c r="AB22" s="31">
        <f t="shared" si="8"/>
        <v>410788021058174.56</v>
      </c>
      <c r="AC22" s="30">
        <f t="shared" si="24"/>
        <v>15136.533392802548</v>
      </c>
      <c r="AD22" s="31">
        <f t="shared" si="25"/>
        <v>165476576.20699486</v>
      </c>
      <c r="AE22" s="31">
        <f t="shared" si="9"/>
        <v>68846185425073.93</v>
      </c>
      <c r="AF22" s="30">
        <f t="shared" si="26"/>
        <v>17465.230837849096</v>
      </c>
      <c r="AG22" s="31">
        <f t="shared" si="27"/>
        <v>23683607.739470307</v>
      </c>
      <c r="AH22" s="31">
        <f t="shared" si="10"/>
        <v>11282635315452.092</v>
      </c>
    </row>
    <row r="23" spans="1:34" ht="15" x14ac:dyDescent="0.25">
      <c r="A23" s="44" t="s">
        <v>80</v>
      </c>
      <c r="B23" s="49">
        <v>1.3559999999999999E-2</v>
      </c>
      <c r="H23" s="24">
        <f t="shared" si="28"/>
        <v>0.59491076452192271</v>
      </c>
      <c r="I23" s="34">
        <f t="shared" si="0"/>
        <v>8.9637200700224135E-10</v>
      </c>
      <c r="J23" s="35">
        <f t="shared" si="13"/>
        <v>7.5176513114255619E-2</v>
      </c>
      <c r="K23" s="30">
        <f t="shared" si="1"/>
        <v>1383.177915044118</v>
      </c>
      <c r="L23" s="31">
        <f t="shared" si="14"/>
        <v>13909773114477.473</v>
      </c>
      <c r="M23" s="31">
        <f t="shared" si="15"/>
        <v>5.3832843844149664E+17</v>
      </c>
      <c r="N23" s="30">
        <f t="shared" si="16"/>
        <v>4149.5337451323539</v>
      </c>
      <c r="O23" s="31">
        <f t="shared" si="2"/>
        <v>504976770266.58612</v>
      </c>
      <c r="P23" s="31">
        <f t="shared" si="3"/>
        <v>5.9419013983320488E+16</v>
      </c>
      <c r="Q23" s="30">
        <f t="shared" si="17"/>
        <v>6915.8895752205899</v>
      </c>
      <c r="R23" s="31">
        <f t="shared" si="4"/>
        <v>20148435276.643303</v>
      </c>
      <c r="S23" s="31">
        <f t="shared" si="5"/>
        <v>3929751147091072</v>
      </c>
      <c r="T23" s="30">
        <f t="shared" si="18"/>
        <v>9682.2454053088259</v>
      </c>
      <c r="U23" s="31">
        <f t="shared" si="19"/>
        <v>818791192.37124622</v>
      </c>
      <c r="V23" s="31">
        <f t="shared" si="6"/>
        <v>221777471640706.31</v>
      </c>
      <c r="W23" s="30">
        <f t="shared" si="20"/>
        <v>12448.601235397064</v>
      </c>
      <c r="X23" s="31">
        <f t="shared" si="21"/>
        <v>33497789.750473518</v>
      </c>
      <c r="Y23" s="31">
        <f t="shared" si="7"/>
        <v>11563115249701.172</v>
      </c>
      <c r="Z23" s="30">
        <f t="shared" si="22"/>
        <v>15214.957065485298</v>
      </c>
      <c r="AA23" s="31">
        <f t="shared" si="23"/>
        <v>1374825.0443532779</v>
      </c>
      <c r="AB23" s="31">
        <f t="shared" si="8"/>
        <v>574808350013.10925</v>
      </c>
      <c r="AC23" s="30">
        <f t="shared" si="24"/>
        <v>17981.312895573534</v>
      </c>
      <c r="AD23" s="31">
        <f t="shared" si="25"/>
        <v>56526.103268945881</v>
      </c>
      <c r="AE23" s="31">
        <f t="shared" si="9"/>
        <v>27677173954.681297</v>
      </c>
      <c r="AF23" s="30">
        <f t="shared" si="26"/>
        <v>20747.66872566177</v>
      </c>
      <c r="AG23" s="31">
        <f t="shared" si="27"/>
        <v>2326.6044310038005</v>
      </c>
      <c r="AH23" s="31">
        <f t="shared" si="10"/>
        <v>1302586097.009311</v>
      </c>
    </row>
    <row r="24" spans="1:34" ht="15" x14ac:dyDescent="0.25">
      <c r="A24" s="44" t="s">
        <v>81</v>
      </c>
      <c r="B24" s="49">
        <v>1.2489999999999999E-3</v>
      </c>
      <c r="H24" s="24">
        <f t="shared" si="28"/>
        <v>0.29745538226096041</v>
      </c>
      <c r="I24" s="34">
        <f t="shared" si="0"/>
        <v>7.9529282409275763E-10</v>
      </c>
      <c r="J24" s="35">
        <f t="shared" si="13"/>
        <v>2.1182802075615018E-2</v>
      </c>
      <c r="K24" s="30">
        <f t="shared" si="1"/>
        <v>1558.9754191025679</v>
      </c>
      <c r="L24" s="31">
        <f t="shared" si="14"/>
        <v>4153406905217.7173</v>
      </c>
      <c r="M24" s="31">
        <f t="shared" si="15"/>
        <v>1.8177150665225296E+17</v>
      </c>
      <c r="N24" s="30">
        <f t="shared" si="16"/>
        <v>4676.926257307704</v>
      </c>
      <c r="O24" s="31">
        <f t="shared" si="2"/>
        <v>12435711976.009226</v>
      </c>
      <c r="P24" s="31">
        <f t="shared" si="3"/>
        <v>1648233861104212.3</v>
      </c>
      <c r="Q24" s="30">
        <f t="shared" si="17"/>
        <v>7794.8770955128384</v>
      </c>
      <c r="R24" s="31">
        <f t="shared" si="4"/>
        <v>40185509.537621386</v>
      </c>
      <c r="S24" s="31">
        <f t="shared" si="5"/>
        <v>8812538611564.709</v>
      </c>
      <c r="T24" s="30">
        <f t="shared" si="18"/>
        <v>10912.827933717976</v>
      </c>
      <c r="U24" s="31">
        <f t="shared" si="19"/>
        <v>131645.71861660812</v>
      </c>
      <c r="V24" s="31">
        <f t="shared" si="6"/>
        <v>40034100032.446571</v>
      </c>
      <c r="W24" s="30">
        <f t="shared" si="20"/>
        <v>14030.778771923115</v>
      </c>
      <c r="X24" s="31">
        <f t="shared" si="21"/>
        <v>433.34674735273239</v>
      </c>
      <c r="Y24" s="31">
        <f t="shared" si="7"/>
        <v>167730359.62793833</v>
      </c>
      <c r="Z24" s="30">
        <f t="shared" si="22"/>
        <v>17148.729610128245</v>
      </c>
      <c r="AA24" s="31">
        <f t="shared" si="23"/>
        <v>1.429682557660197</v>
      </c>
      <c r="AB24" s="31">
        <f t="shared" si="8"/>
        <v>669440.83401396347</v>
      </c>
      <c r="AC24" s="30">
        <f t="shared" si="24"/>
        <v>20266.68044833338</v>
      </c>
      <c r="AD24" s="31">
        <f t="shared" si="25"/>
        <v>4.7225518515859226E-3</v>
      </c>
      <c r="AE24" s="31">
        <f t="shared" si="9"/>
        <v>2586.7606597600411</v>
      </c>
      <c r="AF24" s="30">
        <f t="shared" si="26"/>
        <v>23384.631286538519</v>
      </c>
      <c r="AG24" s="31">
        <f t="shared" si="27"/>
        <v>1.5611219791668268E-5</v>
      </c>
      <c r="AH24" s="31">
        <f t="shared" si="10"/>
        <v>9.7670218658455568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4" t="s">
        <v>19</v>
      </c>
      <c r="B27" s="50">
        <f>'Create Undulator Magnet'!B16</f>
        <v>1.2135891647381336</v>
      </c>
    </row>
    <row r="28" spans="1:34" ht="15" x14ac:dyDescent="0.25">
      <c r="A28" s="44" t="s">
        <v>18</v>
      </c>
      <c r="B28" s="50">
        <f>'Create Undulator Magnet'!B10</f>
        <v>52.5</v>
      </c>
    </row>
    <row r="29" spans="1:34" ht="15" x14ac:dyDescent="0.25">
      <c r="A29" s="44" t="s">
        <v>20</v>
      </c>
      <c r="B29" s="50">
        <f>'Create Undulator Magnet'!B12</f>
        <v>14</v>
      </c>
    </row>
    <row r="30" spans="1:34" ht="15" x14ac:dyDescent="0.25">
      <c r="A30" s="44" t="s">
        <v>93</v>
      </c>
      <c r="B30" s="48">
        <f>B31*B28</f>
        <v>52.5</v>
      </c>
    </row>
    <row r="31" spans="1:34" ht="15" x14ac:dyDescent="0.25">
      <c r="A31" s="44" t="s">
        <v>60</v>
      </c>
      <c r="B31" s="51">
        <f>'Create Undulator Magnet'!B11</f>
        <v>1</v>
      </c>
    </row>
    <row r="32" spans="1:34" ht="15" x14ac:dyDescent="0.25">
      <c r="A32" s="44" t="s">
        <v>61</v>
      </c>
      <c r="B32" s="48">
        <f>'Create Undulator Magnet'!B17</f>
        <v>5.9491076452192457</v>
      </c>
      <c r="C32" s="25"/>
    </row>
    <row r="33" spans="1:12" x14ac:dyDescent="0.2">
      <c r="A33" s="11"/>
      <c r="B33" s="13"/>
      <c r="L33" s="4"/>
    </row>
    <row r="34" spans="1:12" ht="15" x14ac:dyDescent="0.25">
      <c r="A34" s="44" t="s">
        <v>82</v>
      </c>
      <c r="B34" s="50">
        <f>632.8*B9^2*B27^2*B10*B31*(B28/1000)</f>
        <v>154.12734889049707</v>
      </c>
    </row>
    <row r="35" spans="1:12" ht="15.75" thickBot="1" x14ac:dyDescent="0.3">
      <c r="A35" s="52" t="s">
        <v>83</v>
      </c>
      <c r="B35" s="53">
        <f>((B28/1000)/(2*B20^2)*(1+B32^2/2))*1000000000</f>
        <v>14.238824151054139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I3:M3"/>
    <mergeCell ref="W3:Y3"/>
    <mergeCell ref="Z3:AB3"/>
    <mergeCell ref="AC3:AE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D27" sqref="D27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7" t="s">
        <v>10</v>
      </c>
      <c r="B1" s="98"/>
      <c r="F1" s="99" t="s">
        <v>53</v>
      </c>
      <c r="G1" s="100"/>
      <c r="H1" s="100"/>
      <c r="I1" s="100"/>
      <c r="J1" s="101"/>
      <c r="L1" s="99" t="s">
        <v>90</v>
      </c>
      <c r="M1" s="100"/>
      <c r="N1" s="100"/>
      <c r="O1" s="100"/>
      <c r="P1" s="100"/>
      <c r="Q1" s="101"/>
      <c r="R1" s="32"/>
      <c r="X1" s="32"/>
      <c r="Y1" s="32"/>
      <c r="Z1" s="32"/>
    </row>
    <row r="2" spans="1:26" ht="15.75" customHeight="1" thickBot="1" x14ac:dyDescent="0.25">
      <c r="A2" s="84"/>
      <c r="B2" s="85"/>
      <c r="F2" s="77"/>
      <c r="G2" s="102" t="s">
        <v>100</v>
      </c>
      <c r="H2" s="102"/>
      <c r="I2" s="102" t="str">
        <f>CONCATENATE(G2, " Scaled")</f>
        <v>Delta V3 Scaled</v>
      </c>
      <c r="J2" s="103"/>
      <c r="L2" s="81" t="s">
        <v>37</v>
      </c>
      <c r="M2" s="82" t="s">
        <v>38</v>
      </c>
      <c r="N2" s="82" t="s">
        <v>48</v>
      </c>
      <c r="O2" s="82" t="s">
        <v>37</v>
      </c>
      <c r="P2" s="82" t="s">
        <v>101</v>
      </c>
      <c r="Q2" s="83" t="s">
        <v>50</v>
      </c>
    </row>
    <row r="3" spans="1:26" ht="15" thickBot="1" x14ac:dyDescent="0.25">
      <c r="A3" s="61" t="s">
        <v>91</v>
      </c>
      <c r="B3" s="13"/>
      <c r="F3" s="86" t="s">
        <v>105</v>
      </c>
      <c r="G3" s="78" t="s">
        <v>37</v>
      </c>
      <c r="H3" s="78" t="s">
        <v>38</v>
      </c>
      <c r="I3" s="79" t="s">
        <v>37</v>
      </c>
      <c r="J3" s="80" t="s">
        <v>38</v>
      </c>
      <c r="K3" s="1"/>
      <c r="L3" s="11">
        <f>B7/2*-1</f>
        <v>-3.19</v>
      </c>
      <c r="M3" s="12">
        <f>B6/2*-1</f>
        <v>-1.91</v>
      </c>
      <c r="N3" s="12">
        <f>B7/2</f>
        <v>3.19</v>
      </c>
      <c r="O3" s="12">
        <f>N3*-1</f>
        <v>-3.19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4" t="s">
        <v>32</v>
      </c>
      <c r="B4" s="62" t="s">
        <v>29</v>
      </c>
      <c r="F4" s="11">
        <v>2</v>
      </c>
      <c r="G4" s="12">
        <v>2.75</v>
      </c>
      <c r="H4" s="12">
        <v>0</v>
      </c>
      <c r="I4" s="12">
        <f t="shared" ref="I4:I18" si="1">G4*$F$4</f>
        <v>5.5</v>
      </c>
      <c r="J4" s="13">
        <f t="shared" ref="J4:J18" si="2">H4*$F$4</f>
        <v>0</v>
      </c>
      <c r="K4" s="3"/>
      <c r="L4" s="11">
        <f>B7/2</f>
        <v>3.19</v>
      </c>
      <c r="M4" s="12">
        <f>B6/2*-1</f>
        <v>-1.91</v>
      </c>
      <c r="N4" s="14" t="s">
        <v>49</v>
      </c>
      <c r="O4" s="12">
        <f t="shared" ref="O4:O24" si="3">O3+$N$3*2/21</f>
        <v>-2.886190476190476</v>
      </c>
      <c r="P4" s="12">
        <f t="shared" ref="P4:P24" si="4">SQRT((1-(O4)^2/$N$3^2)*$N$5^2)</f>
        <v>0.81350282609992386</v>
      </c>
      <c r="Q4" s="13">
        <f t="shared" si="0"/>
        <v>-0.81350282609992386</v>
      </c>
    </row>
    <row r="5" spans="1:26" ht="14.25" x14ac:dyDescent="0.2">
      <c r="A5" s="63" t="s">
        <v>31</v>
      </c>
      <c r="B5" s="13"/>
      <c r="F5" s="11"/>
      <c r="G5" s="12">
        <v>11.25</v>
      </c>
      <c r="H5" s="12">
        <v>9.5</v>
      </c>
      <c r="I5" s="12">
        <f t="shared" si="1"/>
        <v>22.5</v>
      </c>
      <c r="J5" s="13">
        <f t="shared" si="2"/>
        <v>19</v>
      </c>
      <c r="K5" s="3"/>
      <c r="L5" s="11">
        <f>B7/2</f>
        <v>3.19</v>
      </c>
      <c r="M5" s="12">
        <f>B6/2</f>
        <v>1.91</v>
      </c>
      <c r="N5" s="12">
        <f>B6/2</f>
        <v>1.91</v>
      </c>
      <c r="O5" s="12">
        <f t="shared" si="3"/>
        <v>-2.582380952380952</v>
      </c>
      <c r="P5" s="12">
        <f t="shared" si="4"/>
        <v>1.1213362614924522</v>
      </c>
      <c r="Q5" s="13">
        <f t="shared" si="0"/>
        <v>-1.1213362614924522</v>
      </c>
    </row>
    <row r="6" spans="1:26" ht="15" x14ac:dyDescent="0.25">
      <c r="A6" s="64" t="s">
        <v>35</v>
      </c>
      <c r="B6" s="65">
        <f>IF(B4=D8,ROUNDUP((-0.045*(B21/2/1000)^3+0.3642*(B21/2/1000)^2+0.0265*(B21/2/1000)+1.9042)*2,2),ROUNDUP((-0.008*(B21/2/1000)^3 + 0.1233*(B21/2/1000)^2 - 0.0051*(B21/2/1000) + 2.8442)*2,2))</f>
        <v>3.82</v>
      </c>
      <c r="F6" s="11"/>
      <c r="G6" s="12">
        <f>G5</f>
        <v>11.25</v>
      </c>
      <c r="H6" s="12">
        <v>10.5</v>
      </c>
      <c r="I6" s="12">
        <f t="shared" si="1"/>
        <v>22.5</v>
      </c>
      <c r="J6" s="13">
        <f t="shared" si="2"/>
        <v>21</v>
      </c>
      <c r="K6" s="3"/>
      <c r="L6" s="11">
        <f>B7/2*-1</f>
        <v>-3.19</v>
      </c>
      <c r="M6" s="12">
        <f>B6/2</f>
        <v>1.91</v>
      </c>
      <c r="N6" s="12"/>
      <c r="O6" s="12">
        <f t="shared" si="3"/>
        <v>-2.278571428571428</v>
      </c>
      <c r="P6" s="12">
        <f t="shared" si="4"/>
        <v>1.3367215453473917</v>
      </c>
      <c r="Q6" s="13">
        <f t="shared" si="0"/>
        <v>-1.3367215453473917</v>
      </c>
    </row>
    <row r="7" spans="1:26" ht="15" x14ac:dyDescent="0.25">
      <c r="A7" s="64" t="s">
        <v>36</v>
      </c>
      <c r="B7" s="65">
        <f>IF(B4=D8,ROUNDUP((-0.1034*(B21/2/1000)^3+0.7783*(B21/2/1000)^2+0.109*(B21/2/1000)+3.1763)*2,2),ROUNDUP((-0.00008*(B21/2/1000)^3 + 0.0184*(B21/2/1000)^2 - 0.00008*(B21/2/1000) + 11.542)*2,2))</f>
        <v>6.38</v>
      </c>
      <c r="D7" s="1" t="s">
        <v>28</v>
      </c>
      <c r="E7" s="1"/>
      <c r="F7" s="11"/>
      <c r="G7" s="12">
        <f>G6-2.75</f>
        <v>8.5</v>
      </c>
      <c r="H7" s="12">
        <v>13.5</v>
      </c>
      <c r="I7" s="12">
        <f t="shared" si="1"/>
        <v>17</v>
      </c>
      <c r="J7" s="13">
        <f t="shared" si="2"/>
        <v>27</v>
      </c>
      <c r="K7" s="1"/>
      <c r="L7" s="11">
        <f>B7/2*-1</f>
        <v>-3.19</v>
      </c>
      <c r="M7" s="12">
        <f>B6/2*-1</f>
        <v>-1.91</v>
      </c>
      <c r="N7" s="12"/>
      <c r="O7" s="12">
        <f t="shared" si="3"/>
        <v>-1.9747619047619043</v>
      </c>
      <c r="P7" s="12">
        <f t="shared" si="4"/>
        <v>1.5000250942723301</v>
      </c>
      <c r="Q7" s="13">
        <f t="shared" si="0"/>
        <v>-1.5000250942723301</v>
      </c>
    </row>
    <row r="8" spans="1:26" x14ac:dyDescent="0.2">
      <c r="A8" s="11"/>
      <c r="B8" s="13"/>
      <c r="D8" s="3" t="s">
        <v>29</v>
      </c>
      <c r="E8" s="3"/>
      <c r="F8" s="11"/>
      <c r="G8" s="12">
        <f>G7+2.75</f>
        <v>11.25</v>
      </c>
      <c r="H8" s="12">
        <v>16.5</v>
      </c>
      <c r="I8" s="12">
        <f t="shared" si="1"/>
        <v>22.5</v>
      </c>
      <c r="J8" s="13">
        <f t="shared" si="2"/>
        <v>33</v>
      </c>
      <c r="K8" s="3"/>
      <c r="L8" s="11"/>
      <c r="M8" s="12"/>
      <c r="N8" s="12"/>
      <c r="O8" s="12">
        <f t="shared" si="3"/>
        <v>-1.6709523809523805</v>
      </c>
      <c r="P8" s="12">
        <f t="shared" si="4"/>
        <v>1.6270056521998471</v>
      </c>
      <c r="Q8" s="13">
        <f t="shared" si="0"/>
        <v>-1.6270056521998471</v>
      </c>
    </row>
    <row r="9" spans="1:26" ht="14.25" x14ac:dyDescent="0.2">
      <c r="A9" s="61" t="s">
        <v>92</v>
      </c>
      <c r="B9" s="13"/>
      <c r="D9" s="3" t="s">
        <v>30</v>
      </c>
      <c r="E9" s="3"/>
      <c r="F9" s="11"/>
      <c r="G9" s="12">
        <f>G8</f>
        <v>11.25</v>
      </c>
      <c r="H9" s="12">
        <v>24.5</v>
      </c>
      <c r="I9" s="12">
        <f t="shared" si="1"/>
        <v>22.5</v>
      </c>
      <c r="J9" s="13">
        <f t="shared" si="2"/>
        <v>49</v>
      </c>
      <c r="K9" s="3"/>
      <c r="L9" s="56" t="s">
        <v>4</v>
      </c>
      <c r="M9" s="55" t="s">
        <v>39</v>
      </c>
      <c r="N9" s="12"/>
      <c r="O9" s="12">
        <f t="shared" si="3"/>
        <v>-1.3671428571428568</v>
      </c>
      <c r="P9" s="12">
        <f t="shared" si="4"/>
        <v>1.72570009454903</v>
      </c>
      <c r="Q9" s="13">
        <f t="shared" si="0"/>
        <v>-1.72570009454903</v>
      </c>
    </row>
    <row r="10" spans="1:26" ht="15" x14ac:dyDescent="0.25">
      <c r="A10" s="44" t="s">
        <v>2</v>
      </c>
      <c r="B10" s="46">
        <v>52.5</v>
      </c>
      <c r="D10" s="3"/>
      <c r="E10" s="3"/>
      <c r="F10" s="11"/>
      <c r="G10" s="12">
        <v>10.75</v>
      </c>
      <c r="H10" s="12">
        <v>25</v>
      </c>
      <c r="I10" s="12">
        <f t="shared" si="1"/>
        <v>21.5</v>
      </c>
      <c r="J10" s="13">
        <f t="shared" si="2"/>
        <v>50</v>
      </c>
      <c r="K10" s="3"/>
      <c r="L10" s="11">
        <f>B12</f>
        <v>14</v>
      </c>
      <c r="M10" s="12">
        <f>5.5/7*B12</f>
        <v>11</v>
      </c>
      <c r="N10" s="12"/>
      <c r="O10" s="12">
        <f t="shared" si="3"/>
        <v>-1.063333333333333</v>
      </c>
      <c r="P10" s="12">
        <f t="shared" si="4"/>
        <v>1.8007652694217411</v>
      </c>
      <c r="Q10" s="13">
        <f t="shared" si="0"/>
        <v>-1.8007652694217411</v>
      </c>
    </row>
    <row r="11" spans="1:26" ht="15" x14ac:dyDescent="0.25">
      <c r="A11" s="44" t="s">
        <v>3</v>
      </c>
      <c r="B11" s="46">
        <v>1</v>
      </c>
      <c r="D11" s="1" t="s">
        <v>0</v>
      </c>
      <c r="E11" s="1"/>
      <c r="F11" s="11"/>
      <c r="G11" s="12">
        <f>-1*G10</f>
        <v>-10.75</v>
      </c>
      <c r="H11" s="12">
        <f>H10</f>
        <v>25</v>
      </c>
      <c r="I11" s="12">
        <f t="shared" si="1"/>
        <v>-21.5</v>
      </c>
      <c r="J11" s="13">
        <f t="shared" si="2"/>
        <v>50</v>
      </c>
      <c r="K11" s="3"/>
      <c r="L11" s="56" t="s">
        <v>40</v>
      </c>
      <c r="M11" s="55" t="s">
        <v>41</v>
      </c>
      <c r="N11" s="12"/>
      <c r="O11" s="12">
        <f t="shared" si="3"/>
        <v>-0.75952380952380927</v>
      </c>
      <c r="P11" s="12">
        <f t="shared" si="4"/>
        <v>1.8550718611356607</v>
      </c>
      <c r="Q11" s="13">
        <f t="shared" si="0"/>
        <v>-1.8550718611356607</v>
      </c>
    </row>
    <row r="12" spans="1:26" ht="15" x14ac:dyDescent="0.25">
      <c r="A12" s="44" t="s">
        <v>4</v>
      </c>
      <c r="B12" s="46">
        <v>14</v>
      </c>
      <c r="D12" s="3" t="s">
        <v>109</v>
      </c>
      <c r="E12" s="3"/>
      <c r="F12" s="11"/>
      <c r="G12" s="12">
        <f>-1*G9</f>
        <v>-11.25</v>
      </c>
      <c r="H12" s="12">
        <f>H9</f>
        <v>24.5</v>
      </c>
      <c r="I12" s="12">
        <f t="shared" si="1"/>
        <v>-22.5</v>
      </c>
      <c r="J12" s="13">
        <f t="shared" si="2"/>
        <v>49</v>
      </c>
      <c r="K12" s="3"/>
      <c r="L12" s="57">
        <f>(L10/2)*COS(RADIANS(-45))+(-M10/2)*SIN(RADIANS(-45))</f>
        <v>8.8388347648318444</v>
      </c>
      <c r="M12" s="58">
        <f>-(L10/2)*SIN(RADIANS(-45))+(-M10)/2*COS(RADIANS(-45))</f>
        <v>1.0606601717798201</v>
      </c>
      <c r="N12" s="12"/>
      <c r="O12" s="12">
        <f t="shared" si="3"/>
        <v>-0.45571428571428546</v>
      </c>
      <c r="P12" s="12">
        <f t="shared" si="4"/>
        <v>1.8904097385466032</v>
      </c>
      <c r="Q12" s="13">
        <f t="shared" si="0"/>
        <v>-1.8904097385466032</v>
      </c>
    </row>
    <row r="13" spans="1:26" ht="15" x14ac:dyDescent="0.25">
      <c r="A13" s="44" t="s">
        <v>5</v>
      </c>
      <c r="B13" s="46">
        <v>0.125</v>
      </c>
      <c r="C13" s="4"/>
      <c r="D13" s="3" t="s">
        <v>110</v>
      </c>
      <c r="E13" s="3"/>
      <c r="F13" s="11"/>
      <c r="G13" s="12">
        <f>-1*G8</f>
        <v>-11.25</v>
      </c>
      <c r="H13" s="12">
        <f>H8</f>
        <v>16.5</v>
      </c>
      <c r="I13" s="12">
        <f t="shared" si="1"/>
        <v>-22.5</v>
      </c>
      <c r="J13" s="13">
        <f t="shared" si="2"/>
        <v>33</v>
      </c>
      <c r="L13" s="57">
        <f>(L10/2)*COS(RADIANS(-45))+(M10/2)*SIN(RADIANS(-45))</f>
        <v>1.0606601717798219</v>
      </c>
      <c r="M13" s="58">
        <f>-(L10/2)*SIN(RADIANS(-45))+(M10/2)*COS(RADIANS(-45))</f>
        <v>8.8388347648318444</v>
      </c>
      <c r="N13" s="12"/>
      <c r="O13" s="12">
        <f t="shared" si="3"/>
        <v>-0.15190476190476165</v>
      </c>
      <c r="P13" s="12">
        <f t="shared" si="4"/>
        <v>1.9078332380999898</v>
      </c>
      <c r="Q13" s="13">
        <f t="shared" si="0"/>
        <v>-1.9078332380999898</v>
      </c>
    </row>
    <row r="14" spans="1:26" ht="15" x14ac:dyDescent="0.25">
      <c r="A14" s="44" t="s">
        <v>86</v>
      </c>
      <c r="B14" s="66">
        <f>(1.96*EXP((-0.82*(B12/B10)+-3.31*(B12/B10)^2)))</f>
        <v>1.2447068356288551</v>
      </c>
      <c r="D14" s="3" t="s">
        <v>111</v>
      </c>
      <c r="E14" s="3"/>
      <c r="F14" s="11"/>
      <c r="G14" s="12">
        <f>-1*G7</f>
        <v>-8.5</v>
      </c>
      <c r="H14" s="12">
        <f>H7</f>
        <v>13.5</v>
      </c>
      <c r="I14" s="12">
        <f t="shared" si="1"/>
        <v>-17</v>
      </c>
      <c r="J14" s="13">
        <f t="shared" si="2"/>
        <v>27</v>
      </c>
      <c r="K14" s="1"/>
      <c r="L14" s="59" t="s">
        <v>42</v>
      </c>
      <c r="M14" s="60" t="s">
        <v>43</v>
      </c>
      <c r="N14" s="12"/>
      <c r="O14" s="12">
        <f t="shared" si="3"/>
        <v>0.15190476190476215</v>
      </c>
      <c r="P14" s="12">
        <f t="shared" si="4"/>
        <v>1.9078332380999898</v>
      </c>
      <c r="Q14" s="13">
        <f t="shared" si="0"/>
        <v>-1.9078332380999898</v>
      </c>
    </row>
    <row r="15" spans="1:26" ht="15" x14ac:dyDescent="0.25">
      <c r="A15" s="44" t="s">
        <v>87</v>
      </c>
      <c r="B15" s="67">
        <v>0.97499999999999998</v>
      </c>
      <c r="D15" s="3" t="s">
        <v>112</v>
      </c>
      <c r="E15" s="3"/>
      <c r="F15" s="11"/>
      <c r="G15" s="12">
        <f>-1*G6</f>
        <v>-11.25</v>
      </c>
      <c r="H15" s="12">
        <f>H6</f>
        <v>10.5</v>
      </c>
      <c r="I15" s="12">
        <f t="shared" si="1"/>
        <v>-22.5</v>
      </c>
      <c r="J15" s="13">
        <f t="shared" si="2"/>
        <v>21</v>
      </c>
      <c r="K15" s="3"/>
      <c r="L15" s="57">
        <f>(-L10/2)*COS(RADIANS(45))+(-M10/2)*SIN(RADIANS(45))</f>
        <v>-8.8388347648318444</v>
      </c>
      <c r="M15" s="58">
        <f>-(L10/2)*SIN(RADIANS(-45))+(-M10)/2*COS(RADIANS(-45))</f>
        <v>1.0606601717798201</v>
      </c>
      <c r="N15" s="12"/>
      <c r="O15" s="12">
        <f t="shared" si="3"/>
        <v>0.45571428571428596</v>
      </c>
      <c r="P15" s="12">
        <f t="shared" si="4"/>
        <v>1.8904097385466032</v>
      </c>
      <c r="Q15" s="13">
        <f t="shared" si="0"/>
        <v>-1.8904097385466032</v>
      </c>
    </row>
    <row r="16" spans="1:26" ht="15" x14ac:dyDescent="0.25">
      <c r="A16" s="44" t="s">
        <v>88</v>
      </c>
      <c r="B16" s="66">
        <f>B14*B15</f>
        <v>1.2135891647381336</v>
      </c>
      <c r="C16" s="4"/>
      <c r="D16" s="3" t="s">
        <v>108</v>
      </c>
      <c r="E16" s="3"/>
      <c r="F16" s="11"/>
      <c r="G16" s="12">
        <f>-1*G5</f>
        <v>-11.25</v>
      </c>
      <c r="H16" s="12">
        <f>H5</f>
        <v>9.5</v>
      </c>
      <c r="I16" s="12">
        <f t="shared" si="1"/>
        <v>-22.5</v>
      </c>
      <c r="J16" s="13">
        <f t="shared" si="2"/>
        <v>19</v>
      </c>
      <c r="L16" s="57">
        <f>(-L10/2)*COS(RADIANS(45))+(M10/2)*SIN(RADIANS(45))</f>
        <v>-1.0606601717798219</v>
      </c>
      <c r="M16" s="58">
        <f>-(L10/2)*SIN(RADIANS(-45))+(M10/2)*COS(RADIANS(-45))</f>
        <v>8.8388347648318444</v>
      </c>
      <c r="N16" s="12"/>
      <c r="O16" s="12">
        <f t="shared" si="3"/>
        <v>0.75952380952380971</v>
      </c>
      <c r="P16" s="12">
        <f t="shared" si="4"/>
        <v>1.8550718611356607</v>
      </c>
      <c r="Q16" s="13">
        <f t="shared" si="0"/>
        <v>-1.8550718611356607</v>
      </c>
    </row>
    <row r="17" spans="1:17" ht="15" x14ac:dyDescent="0.2">
      <c r="A17" s="68" t="s">
        <v>61</v>
      </c>
      <c r="B17" s="69">
        <f>((B16*ABS('Electron beam and constants'!B4))/('Electron beam and constants'!B5*'Electron beam and constants'!B6))*((B10/1000)/(2*PI()))</f>
        <v>5.9491076452192457</v>
      </c>
      <c r="F17" s="11"/>
      <c r="G17" s="12">
        <f>-1*G4</f>
        <v>-2.75</v>
      </c>
      <c r="H17" s="12">
        <f>H4</f>
        <v>0</v>
      </c>
      <c r="I17" s="12">
        <f t="shared" si="1"/>
        <v>-5.5</v>
      </c>
      <c r="J17" s="13">
        <f t="shared" si="2"/>
        <v>0</v>
      </c>
      <c r="L17" s="59" t="s">
        <v>44</v>
      </c>
      <c r="M17" s="60" t="s">
        <v>45</v>
      </c>
      <c r="N17" s="12"/>
      <c r="O17" s="12">
        <f t="shared" si="3"/>
        <v>1.0633333333333335</v>
      </c>
      <c r="P17" s="12">
        <f t="shared" si="4"/>
        <v>1.8007652694217409</v>
      </c>
      <c r="Q17" s="13">
        <f t="shared" si="0"/>
        <v>-1.8007652694217409</v>
      </c>
    </row>
    <row r="18" spans="1:17" ht="15" x14ac:dyDescent="0.25">
      <c r="A18" s="44" t="s">
        <v>89</v>
      </c>
      <c r="B18" s="48">
        <f>'Electron beam and constants'!E5</f>
        <v>87.07474371452804</v>
      </c>
      <c r="D18" s="1" t="s">
        <v>1</v>
      </c>
      <c r="E18" s="1"/>
      <c r="F18" s="11"/>
      <c r="G18" s="12">
        <f>G4</f>
        <v>2.75</v>
      </c>
      <c r="H18" s="12">
        <f>H4</f>
        <v>0</v>
      </c>
      <c r="I18" s="12">
        <f t="shared" si="1"/>
        <v>5.5</v>
      </c>
      <c r="J18" s="13">
        <f t="shared" si="2"/>
        <v>0</v>
      </c>
      <c r="L18" s="57">
        <f>(L10/2)*COS(RADIANS(45))+(-M10/2)*SIN(RADIANS(45))</f>
        <v>1.0606601717798219</v>
      </c>
      <c r="M18" s="58">
        <f>-(L10/2)*SIN(RADIANS(45))+(-M10)/2*COS(RADIANS(45))</f>
        <v>-8.8388347648318444</v>
      </c>
      <c r="N18" s="12"/>
      <c r="O18" s="12">
        <f t="shared" si="3"/>
        <v>1.3671428571428572</v>
      </c>
      <c r="P18" s="12">
        <f t="shared" si="4"/>
        <v>1.7257000945490297</v>
      </c>
      <c r="Q18" s="13">
        <f t="shared" si="0"/>
        <v>-1.7257000945490297</v>
      </c>
    </row>
    <row r="19" spans="1:17" ht="15" x14ac:dyDescent="0.25">
      <c r="A19" s="44" t="s">
        <v>82</v>
      </c>
      <c r="B19" s="50">
        <f>'Electron beam and constants'!B34</f>
        <v>154.12734889049707</v>
      </c>
      <c r="D19" s="3" t="s">
        <v>106</v>
      </c>
      <c r="E19" s="3"/>
      <c r="F19" s="11"/>
      <c r="G19" s="12"/>
      <c r="H19" s="12"/>
      <c r="I19" s="12"/>
      <c r="J19" s="13"/>
      <c r="L19" s="57">
        <f>(L10/2)*COS(RADIANS(45))+(M10/2)*SIN(RADIANS(45))</f>
        <v>8.8388347648318444</v>
      </c>
      <c r="M19" s="58">
        <f>-(L10/2)*SIN(RADIANS(45))+(M10/2)*COS(RADIANS(45))</f>
        <v>-1.0606601717798201</v>
      </c>
      <c r="N19" s="12"/>
      <c r="O19" s="12">
        <f t="shared" si="3"/>
        <v>1.670952380952381</v>
      </c>
      <c r="P19" s="12">
        <f t="shared" si="4"/>
        <v>1.6270056521998471</v>
      </c>
      <c r="Q19" s="13">
        <f t="shared" si="0"/>
        <v>-1.6270056521998471</v>
      </c>
    </row>
    <row r="20" spans="1:17" ht="15" x14ac:dyDescent="0.25">
      <c r="A20" s="54" t="s">
        <v>83</v>
      </c>
      <c r="B20" s="50">
        <f>'Electron beam and constants'!B35</f>
        <v>14.238824151054139</v>
      </c>
      <c r="C20" s="2"/>
      <c r="D20" s="3" t="s">
        <v>107</v>
      </c>
      <c r="E20" s="3"/>
      <c r="F20" s="71"/>
      <c r="G20" s="72"/>
      <c r="H20" s="72"/>
      <c r="I20" s="72"/>
      <c r="J20" s="73"/>
      <c r="K20" s="3"/>
      <c r="L20" s="59" t="s">
        <v>46</v>
      </c>
      <c r="M20" s="60" t="s">
        <v>47</v>
      </c>
      <c r="N20" s="12"/>
      <c r="O20" s="12">
        <f t="shared" si="3"/>
        <v>1.9747619047619047</v>
      </c>
      <c r="P20" s="12">
        <f t="shared" si="4"/>
        <v>1.5000250942723299</v>
      </c>
      <c r="Q20" s="13">
        <f t="shared" si="0"/>
        <v>-1.5000250942723299</v>
      </c>
    </row>
    <row r="21" spans="1:17" ht="15" x14ac:dyDescent="0.25">
      <c r="A21" s="44" t="s">
        <v>34</v>
      </c>
      <c r="B21" s="65">
        <f>IF(B34="Yes",(11/8)*B10+B11*B10 + B13,B11*B10 - B13)</f>
        <v>124.8125</v>
      </c>
      <c r="C21" s="2"/>
      <c r="D21" s="3" t="s">
        <v>14</v>
      </c>
      <c r="F21" s="11"/>
      <c r="G21" s="12"/>
      <c r="H21" s="12"/>
      <c r="I21" s="12"/>
      <c r="J21" s="13"/>
      <c r="L21" s="57">
        <f>(-L10/2)*COS(RADIANS(45))+(-M10/2)*SIN(RADIANS(45))</f>
        <v>-8.8388347648318444</v>
      </c>
      <c r="M21" s="58">
        <f>-(L10/2)*SIN(RADIANS(45))+(M10/2)*COS(RADIANS(45))</f>
        <v>-1.0606601717798201</v>
      </c>
      <c r="N21" s="12"/>
      <c r="O21" s="12">
        <f t="shared" si="3"/>
        <v>2.2785714285714285</v>
      </c>
      <c r="P21" s="12">
        <f t="shared" si="4"/>
        <v>1.3367215453473915</v>
      </c>
      <c r="Q21" s="13">
        <f t="shared" si="0"/>
        <v>-1.3367215453473915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57">
        <f>(-L10/2)*COS(RADIANS(45))+(M10/2)*SIN(RADIANS(45))</f>
        <v>-1.0606601717798219</v>
      </c>
      <c r="M22" s="58">
        <f>-(L10/2)*SIN(RADIANS(45))+(-M10/2)*COS(RADIANS(45))</f>
        <v>-8.8388347648318444</v>
      </c>
      <c r="N22" s="12"/>
      <c r="O22" s="12">
        <f t="shared" si="3"/>
        <v>2.5823809523809524</v>
      </c>
      <c r="P22" s="12">
        <f t="shared" si="4"/>
        <v>1.1213362614924518</v>
      </c>
      <c r="Q22" s="13">
        <f t="shared" si="0"/>
        <v>-1.1213362614924518</v>
      </c>
    </row>
    <row r="23" spans="1:17" ht="15" x14ac:dyDescent="0.25">
      <c r="A23" s="61" t="s">
        <v>104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2.8861904761904764</v>
      </c>
      <c r="P23" s="12">
        <f t="shared" si="4"/>
        <v>0.81350282609992308</v>
      </c>
      <c r="Q23" s="13">
        <f t="shared" si="0"/>
        <v>-0.81350282609992308</v>
      </c>
    </row>
    <row r="24" spans="1:17" ht="15.75" thickBot="1" x14ac:dyDescent="0.3">
      <c r="A24" s="44" t="s">
        <v>11</v>
      </c>
      <c r="B24" s="62" t="s">
        <v>111</v>
      </c>
      <c r="C24" s="2"/>
      <c r="F24" s="74"/>
      <c r="G24" s="75"/>
      <c r="H24" s="75"/>
      <c r="I24" s="75"/>
      <c r="J24" s="76"/>
      <c r="K24" s="3"/>
      <c r="L24" s="17"/>
      <c r="M24" s="18"/>
      <c r="N24" s="18"/>
      <c r="O24" s="18">
        <f t="shared" si="3"/>
        <v>3.1900000000000004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4" t="s">
        <v>12</v>
      </c>
      <c r="B25" s="62" t="s">
        <v>14</v>
      </c>
      <c r="C25" s="2"/>
    </row>
    <row r="26" spans="1:17" ht="15" x14ac:dyDescent="0.25">
      <c r="A26" s="44" t="s">
        <v>13</v>
      </c>
      <c r="B26" s="46">
        <v>5</v>
      </c>
      <c r="C26" s="2"/>
    </row>
    <row r="27" spans="1:17" ht="15" x14ac:dyDescent="0.25">
      <c r="A27" s="44" t="s">
        <v>6</v>
      </c>
      <c r="B27" s="46">
        <v>150</v>
      </c>
    </row>
    <row r="28" spans="1:17" ht="15" x14ac:dyDescent="0.25">
      <c r="A28" s="44" t="s">
        <v>7</v>
      </c>
      <c r="B28" s="46">
        <v>2000</v>
      </c>
      <c r="O28" s="4"/>
    </row>
    <row r="29" spans="1:17" ht="15" x14ac:dyDescent="0.25">
      <c r="A29" s="44" t="s">
        <v>16</v>
      </c>
      <c r="B29" s="46">
        <v>14</v>
      </c>
      <c r="D29" s="4"/>
      <c r="O29" s="4"/>
    </row>
    <row r="30" spans="1:17" ht="15" x14ac:dyDescent="0.25">
      <c r="A30" s="44" t="s">
        <v>17</v>
      </c>
      <c r="B30" s="46">
        <v>1</v>
      </c>
    </row>
    <row r="31" spans="1:17" ht="15" x14ac:dyDescent="0.25">
      <c r="A31" s="44" t="s">
        <v>8</v>
      </c>
      <c r="B31" s="46">
        <v>1500</v>
      </c>
    </row>
    <row r="32" spans="1:17" ht="15" x14ac:dyDescent="0.25">
      <c r="A32" s="44" t="s">
        <v>9</v>
      </c>
      <c r="B32" s="46">
        <v>1</v>
      </c>
    </row>
    <row r="33" spans="1:2" ht="15" x14ac:dyDescent="0.25">
      <c r="A33" s="44" t="s">
        <v>15</v>
      </c>
      <c r="B33" s="46">
        <v>2</v>
      </c>
    </row>
    <row r="34" spans="1:2" ht="15" x14ac:dyDescent="0.25">
      <c r="A34" s="44" t="s">
        <v>96</v>
      </c>
      <c r="B34" s="70" t="s">
        <v>113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3"/>
  <sheetViews>
    <sheetView workbookViewId="0">
      <selection activeCell="C18" sqref="C18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87" t="s">
        <v>102</v>
      </c>
      <c r="B1" s="87"/>
    </row>
    <row r="2" spans="1:2" x14ac:dyDescent="0.2">
      <c r="A2" s="38">
        <v>43783</v>
      </c>
      <c r="B2" s="4" t="s">
        <v>103</v>
      </c>
    </row>
    <row r="3" spans="1:2" x14ac:dyDescent="0.2">
      <c r="A3" s="38">
        <v>43789</v>
      </c>
      <c r="B3" t="s">
        <v>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2019-11-20T16:41:11Z</dcterms:modified>
</cp:coreProperties>
</file>