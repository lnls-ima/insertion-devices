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3.xml" ContentType="application/vnd.openxmlformats-officedocument.drawing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4.xml" ContentType="application/vnd.openxmlformats-officedocument.drawing+xml"/>
  <Override PartName="/xl/ctrlProps/ctrlProp1.xml" ContentType="application/vnd.ms-excel.controlproperties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uana.vilela\lnls-ima\insertion-devices\Delta52.5\"/>
    </mc:Choice>
  </mc:AlternateContent>
  <xr:revisionPtr revIDLastSave="0" documentId="13_ncr:1_{E2C1A7A7-A0EC-4662-97CB-C44FFE230E36}" xr6:coauthVersionLast="41" xr6:coauthVersionMax="43" xr10:uidLastSave="{00000000-0000-0000-0000-000000000000}"/>
  <bookViews>
    <workbookView xWindow="-120" yWindow="-120" windowWidth="29040" windowHeight="15840" activeTab="3" xr2:uid="{00000000-000D-0000-FFFF-FFFF00000000}"/>
  </bookViews>
  <sheets>
    <sheet name="Block Shapes" sheetId="8" r:id="rId1"/>
    <sheet name="Beam Stay Clear" sheetId="3" r:id="rId2"/>
    <sheet name="Electron beam and constants" sheetId="7" r:id="rId3"/>
    <sheet name="Create Undulator Magnet" sheetId="1" r:id="rId4"/>
    <sheet name="Updates" sheetId="9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18" i="1" l="1"/>
  <c r="G18" i="1"/>
  <c r="H17" i="1"/>
  <c r="G17" i="1"/>
  <c r="H16" i="1"/>
  <c r="G16" i="1"/>
  <c r="H15" i="1"/>
  <c r="G15" i="1"/>
  <c r="H14" i="1"/>
  <c r="G14" i="1"/>
  <c r="H13" i="1"/>
  <c r="G13" i="1"/>
  <c r="H12" i="1"/>
  <c r="G12" i="1"/>
  <c r="H11" i="1"/>
  <c r="G11" i="1"/>
  <c r="M17" i="8"/>
  <c r="M16" i="8"/>
  <c r="M15" i="8"/>
  <c r="M14" i="8"/>
  <c r="M13" i="8"/>
  <c r="M12" i="8"/>
  <c r="M11" i="8"/>
  <c r="M10" i="8"/>
  <c r="N17" i="8"/>
  <c r="N16" i="8"/>
  <c r="N15" i="8"/>
  <c r="N14" i="8"/>
  <c r="N13" i="8"/>
  <c r="N12" i="8"/>
  <c r="N11" i="8"/>
  <c r="N10" i="8"/>
  <c r="B21" i="1" l="1"/>
  <c r="J18" i="1" l="1"/>
  <c r="I18" i="1"/>
  <c r="J17" i="1"/>
  <c r="I17" i="1"/>
  <c r="K11" i="8"/>
  <c r="K10" i="8"/>
  <c r="J10" i="8"/>
  <c r="K17" i="8"/>
  <c r="J17" i="8"/>
  <c r="K16" i="8"/>
  <c r="J16" i="8"/>
  <c r="K15" i="8"/>
  <c r="J15" i="8"/>
  <c r="K14" i="8"/>
  <c r="K13" i="8"/>
  <c r="K12" i="8"/>
  <c r="J5" i="8"/>
  <c r="J6" i="8" s="1"/>
  <c r="H15" i="8"/>
  <c r="H14" i="8"/>
  <c r="H13" i="8"/>
  <c r="H12" i="8"/>
  <c r="H11" i="8"/>
  <c r="H10" i="8"/>
  <c r="H9" i="8"/>
  <c r="G15" i="8"/>
  <c r="G14" i="8"/>
  <c r="G13" i="8"/>
  <c r="E9" i="8"/>
  <c r="E8" i="8"/>
  <c r="E7" i="8"/>
  <c r="E6" i="8"/>
  <c r="D9" i="8"/>
  <c r="D8" i="8"/>
  <c r="D7" i="8"/>
  <c r="B13" i="8"/>
  <c r="A13" i="8"/>
  <c r="B12" i="8"/>
  <c r="B11" i="8"/>
  <c r="B10" i="8"/>
  <c r="B9" i="8"/>
  <c r="B8" i="8"/>
  <c r="A12" i="8"/>
  <c r="A11" i="8"/>
  <c r="A10" i="8"/>
  <c r="A9" i="8"/>
  <c r="A8" i="8"/>
  <c r="I2" i="1"/>
  <c r="G5" i="8"/>
  <c r="G6" i="8" s="1"/>
  <c r="G7" i="8" s="1"/>
  <c r="G8" i="8" s="1"/>
  <c r="G9" i="8" s="1"/>
  <c r="D5" i="8"/>
  <c r="D6" i="8" s="1"/>
  <c r="G10" i="8" l="1"/>
  <c r="J14" i="8"/>
  <c r="G11" i="8"/>
  <c r="G12" i="8"/>
  <c r="J13" i="8"/>
  <c r="J7" i="8"/>
  <c r="B19" i="7"/>
  <c r="J12" i="8" l="1"/>
  <c r="J8" i="8"/>
  <c r="J11" i="8" s="1"/>
  <c r="B31" i="7"/>
  <c r="B14" i="1" l="1"/>
  <c r="B16" i="1" s="1"/>
  <c r="B27" i="7" s="1"/>
  <c r="B29" i="7"/>
  <c r="B28" i="7"/>
  <c r="B20" i="7"/>
  <c r="J5" i="1"/>
  <c r="M10" i="1"/>
  <c r="L10" i="1"/>
  <c r="O5" i="3"/>
  <c r="O4" i="3"/>
  <c r="E5" i="3"/>
  <c r="E4" i="3"/>
  <c r="B30" i="7" l="1"/>
  <c r="B17" i="1"/>
  <c r="B32" i="7" s="1"/>
  <c r="F5" i="7"/>
  <c r="F11" i="7"/>
  <c r="F9" i="7"/>
  <c r="F7" i="7"/>
  <c r="F12" i="7"/>
  <c r="F10" i="7"/>
  <c r="F8" i="7"/>
  <c r="F6" i="7"/>
  <c r="I7" i="1"/>
  <c r="I5" i="1"/>
  <c r="J16" i="1"/>
  <c r="J12" i="1"/>
  <c r="J8" i="1"/>
  <c r="I4" i="1"/>
  <c r="J14" i="1"/>
  <c r="J10" i="1"/>
  <c r="J6" i="1"/>
  <c r="I6" i="1"/>
  <c r="J4" i="1"/>
  <c r="J15" i="1"/>
  <c r="J13" i="1"/>
  <c r="J11" i="1"/>
  <c r="J9" i="1"/>
  <c r="J7" i="1"/>
  <c r="M22" i="1"/>
  <c r="L12" i="1"/>
  <c r="M15" i="1"/>
  <c r="L18" i="1"/>
  <c r="L21" i="1"/>
  <c r="M21" i="1"/>
  <c r="M12" i="1"/>
  <c r="L15" i="1"/>
  <c r="M18" i="1"/>
  <c r="L13" i="1"/>
  <c r="M13" i="1"/>
  <c r="M16" i="1"/>
  <c r="L16" i="1"/>
  <c r="L19" i="1"/>
  <c r="M19" i="1"/>
  <c r="L22" i="1"/>
  <c r="B34" i="7" l="1"/>
  <c r="B19" i="1" s="1"/>
  <c r="I8" i="1"/>
  <c r="I9" i="1"/>
  <c r="H5" i="7" l="1"/>
  <c r="B35" i="7"/>
  <c r="B20" i="1" s="1"/>
  <c r="E10" i="7"/>
  <c r="E6" i="7"/>
  <c r="E11" i="7"/>
  <c r="E7" i="7"/>
  <c r="E12" i="7"/>
  <c r="E8" i="7"/>
  <c r="E5" i="7"/>
  <c r="B18" i="1" s="1"/>
  <c r="E9" i="7"/>
  <c r="I10" i="1"/>
  <c r="K5" i="7" l="1"/>
  <c r="I5" i="7"/>
  <c r="J5" i="7"/>
  <c r="L5" i="7" s="1"/>
  <c r="O5" i="7"/>
  <c r="P5" i="7" s="1"/>
  <c r="R5" i="7"/>
  <c r="S5" i="7" s="1"/>
  <c r="AG5" i="7"/>
  <c r="AH5" i="7" s="1"/>
  <c r="AA5" i="7"/>
  <c r="AB5" i="7" s="1"/>
  <c r="X5" i="7"/>
  <c r="Y5" i="7" s="1"/>
  <c r="AC5" i="7"/>
  <c r="U5" i="7"/>
  <c r="V5" i="7" s="1"/>
  <c r="AD5" i="7"/>
  <c r="AE5" i="7" s="1"/>
  <c r="W5" i="7"/>
  <c r="N5" i="7"/>
  <c r="AF5" i="7"/>
  <c r="Z5" i="7"/>
  <c r="T5" i="7"/>
  <c r="Q5" i="7"/>
  <c r="H6" i="7"/>
  <c r="I11" i="1"/>
  <c r="J6" i="7" l="1"/>
  <c r="L6" i="7" s="1"/>
  <c r="M5" i="7"/>
  <c r="I6" i="7"/>
  <c r="K6" i="7"/>
  <c r="O6" i="7"/>
  <c r="P6" i="7" s="1"/>
  <c r="AA6" i="7"/>
  <c r="AB6" i="7" s="1"/>
  <c r="AG6" i="7"/>
  <c r="AH6" i="7" s="1"/>
  <c r="R6" i="7"/>
  <c r="S6" i="7" s="1"/>
  <c r="AC6" i="7"/>
  <c r="U6" i="7"/>
  <c r="V6" i="7" s="1"/>
  <c r="W6" i="7"/>
  <c r="X6" i="7"/>
  <c r="Y6" i="7" s="1"/>
  <c r="AD6" i="7"/>
  <c r="AE6" i="7" s="1"/>
  <c r="H7" i="7"/>
  <c r="AF6" i="7"/>
  <c r="T6" i="7"/>
  <c r="Q6" i="7"/>
  <c r="N6" i="7"/>
  <c r="Z6" i="7"/>
  <c r="I12" i="1"/>
  <c r="J7" i="7" l="1"/>
  <c r="L7" i="7" s="1"/>
  <c r="M6" i="7"/>
  <c r="I7" i="7"/>
  <c r="K7" i="7"/>
  <c r="AG7" i="7"/>
  <c r="AH7" i="7" s="1"/>
  <c r="O7" i="7"/>
  <c r="P7" i="7" s="1"/>
  <c r="AA7" i="7"/>
  <c r="AB7" i="7" s="1"/>
  <c r="R7" i="7"/>
  <c r="S7" i="7" s="1"/>
  <c r="U7" i="7"/>
  <c r="V7" i="7" s="1"/>
  <c r="W7" i="7"/>
  <c r="AD7" i="7"/>
  <c r="AE7" i="7" s="1"/>
  <c r="AC7" i="7"/>
  <c r="X7" i="7"/>
  <c r="Y7" i="7" s="1"/>
  <c r="H8" i="7"/>
  <c r="Z7" i="7"/>
  <c r="N7" i="7"/>
  <c r="AF7" i="7"/>
  <c r="T7" i="7"/>
  <c r="Q7" i="7"/>
  <c r="I13" i="1"/>
  <c r="M7" i="7" l="1"/>
  <c r="J8" i="7"/>
  <c r="L8" i="7" s="1"/>
  <c r="I8" i="7"/>
  <c r="K8" i="7"/>
  <c r="O8" i="7"/>
  <c r="P8" i="7" s="1"/>
  <c r="AG8" i="7"/>
  <c r="AH8" i="7" s="1"/>
  <c r="R8" i="7"/>
  <c r="S8" i="7" s="1"/>
  <c r="X8" i="7"/>
  <c r="Y8" i="7" s="1"/>
  <c r="AD8" i="7"/>
  <c r="AE8" i="7" s="1"/>
  <c r="AA8" i="7"/>
  <c r="AB8" i="7" s="1"/>
  <c r="AC8" i="7"/>
  <c r="U8" i="7"/>
  <c r="V8" i="7" s="1"/>
  <c r="W8" i="7"/>
  <c r="H9" i="7"/>
  <c r="AF8" i="7"/>
  <c r="Z8" i="7"/>
  <c r="T8" i="7"/>
  <c r="Q8" i="7"/>
  <c r="N8" i="7"/>
  <c r="I14" i="1"/>
  <c r="J9" i="7" l="1"/>
  <c r="L9" i="7" s="1"/>
  <c r="M8" i="7"/>
  <c r="I9" i="7"/>
  <c r="K9" i="7"/>
  <c r="O9" i="7"/>
  <c r="P9" i="7" s="1"/>
  <c r="AG9" i="7"/>
  <c r="AH9" i="7" s="1"/>
  <c r="R9" i="7"/>
  <c r="S9" i="7" s="1"/>
  <c r="X9" i="7"/>
  <c r="Y9" i="7" s="1"/>
  <c r="AA9" i="7"/>
  <c r="AB9" i="7" s="1"/>
  <c r="AD9" i="7"/>
  <c r="AE9" i="7" s="1"/>
  <c r="AC9" i="7"/>
  <c r="U9" i="7"/>
  <c r="V9" i="7" s="1"/>
  <c r="W9" i="7"/>
  <c r="H10" i="7"/>
  <c r="N9" i="7"/>
  <c r="AF9" i="7"/>
  <c r="Z9" i="7"/>
  <c r="T9" i="7"/>
  <c r="Q9" i="7"/>
  <c r="I15" i="1"/>
  <c r="J10" i="7" l="1"/>
  <c r="L10" i="7" s="1"/>
  <c r="M9" i="7"/>
  <c r="I10" i="7"/>
  <c r="K10" i="7"/>
  <c r="O10" i="7"/>
  <c r="P10" i="7" s="1"/>
  <c r="X10" i="7"/>
  <c r="Y10" i="7" s="1"/>
  <c r="R10" i="7"/>
  <c r="S10" i="7" s="1"/>
  <c r="AG10" i="7"/>
  <c r="AH10" i="7" s="1"/>
  <c r="AD10" i="7"/>
  <c r="AE10" i="7" s="1"/>
  <c r="AC10" i="7"/>
  <c r="W10" i="7"/>
  <c r="U10" i="7"/>
  <c r="V10" i="7" s="1"/>
  <c r="AA10" i="7"/>
  <c r="AB10" i="7" s="1"/>
  <c r="H11" i="7"/>
  <c r="AF10" i="7"/>
  <c r="T10" i="7"/>
  <c r="Q10" i="7"/>
  <c r="N10" i="7"/>
  <c r="Z10" i="7"/>
  <c r="I16" i="1"/>
  <c r="J11" i="7" l="1"/>
  <c r="L11" i="7" s="1"/>
  <c r="M10" i="7"/>
  <c r="I11" i="7"/>
  <c r="K11" i="7"/>
  <c r="AG11" i="7"/>
  <c r="AH11" i="7" s="1"/>
  <c r="R11" i="7"/>
  <c r="S11" i="7" s="1"/>
  <c r="X11" i="7"/>
  <c r="Y11" i="7" s="1"/>
  <c r="AD11" i="7"/>
  <c r="AE11" i="7" s="1"/>
  <c r="U11" i="7"/>
  <c r="V11" i="7" s="1"/>
  <c r="AC11" i="7"/>
  <c r="O11" i="7"/>
  <c r="P11" i="7" s="1"/>
  <c r="W11" i="7"/>
  <c r="AA11" i="7"/>
  <c r="AB11" i="7" s="1"/>
  <c r="H12" i="7"/>
  <c r="Z11" i="7"/>
  <c r="N11" i="7"/>
  <c r="AF11" i="7"/>
  <c r="T11" i="7"/>
  <c r="Q11" i="7"/>
  <c r="J12" i="7" l="1"/>
  <c r="L12" i="7" s="1"/>
  <c r="M11" i="7"/>
  <c r="I12" i="7"/>
  <c r="K12" i="7"/>
  <c r="X12" i="7"/>
  <c r="Y12" i="7" s="1"/>
  <c r="R12" i="7"/>
  <c r="S12" i="7" s="1"/>
  <c r="W12" i="7"/>
  <c r="AD12" i="7"/>
  <c r="AE12" i="7" s="1"/>
  <c r="U12" i="7"/>
  <c r="V12" i="7" s="1"/>
  <c r="O12" i="7"/>
  <c r="P12" i="7" s="1"/>
  <c r="AG12" i="7"/>
  <c r="AH12" i="7" s="1"/>
  <c r="AA12" i="7"/>
  <c r="AB12" i="7" s="1"/>
  <c r="AC12" i="7"/>
  <c r="H13" i="7"/>
  <c r="AF12" i="7"/>
  <c r="Z12" i="7"/>
  <c r="T12" i="7"/>
  <c r="Q12" i="7"/>
  <c r="N12" i="7"/>
  <c r="J13" i="7" l="1"/>
  <c r="L13" i="7" s="1"/>
  <c r="M12" i="7"/>
  <c r="I13" i="7"/>
  <c r="K13" i="7"/>
  <c r="AD13" i="7"/>
  <c r="AE13" i="7" s="1"/>
  <c r="R13" i="7"/>
  <c r="S13" i="7" s="1"/>
  <c r="X13" i="7"/>
  <c r="Y13" i="7" s="1"/>
  <c r="AC13" i="7"/>
  <c r="AA13" i="7"/>
  <c r="AB13" i="7" s="1"/>
  <c r="U13" i="7"/>
  <c r="V13" i="7" s="1"/>
  <c r="W13" i="7"/>
  <c r="O13" i="7"/>
  <c r="P13" i="7" s="1"/>
  <c r="AG13" i="7"/>
  <c r="AH13" i="7" s="1"/>
  <c r="H14" i="7"/>
  <c r="N13" i="7"/>
  <c r="AF13" i="7"/>
  <c r="Z13" i="7"/>
  <c r="T13" i="7"/>
  <c r="Q13" i="7"/>
  <c r="J14" i="7" l="1"/>
  <c r="L14" i="7" s="1"/>
  <c r="M13" i="7"/>
  <c r="I14" i="7"/>
  <c r="K14" i="7"/>
  <c r="R14" i="7"/>
  <c r="S14" i="7" s="1"/>
  <c r="X14" i="7"/>
  <c r="Y14" i="7" s="1"/>
  <c r="AD14" i="7"/>
  <c r="AE14" i="7" s="1"/>
  <c r="O14" i="7"/>
  <c r="P14" i="7" s="1"/>
  <c r="AG14" i="7"/>
  <c r="AH14" i="7" s="1"/>
  <c r="AC14" i="7"/>
  <c r="W14" i="7"/>
  <c r="U14" i="7"/>
  <c r="V14" i="7" s="1"/>
  <c r="AA14" i="7"/>
  <c r="AB14" i="7" s="1"/>
  <c r="H15" i="7"/>
  <c r="AF14" i="7"/>
  <c r="T14" i="7"/>
  <c r="Q14" i="7"/>
  <c r="N14" i="7"/>
  <c r="Z14" i="7"/>
  <c r="J15" i="7" l="1"/>
  <c r="L15" i="7"/>
  <c r="M14" i="7"/>
  <c r="I15" i="7"/>
  <c r="K15" i="7"/>
  <c r="R15" i="7"/>
  <c r="S15" i="7" s="1"/>
  <c r="X15" i="7"/>
  <c r="Y15" i="7" s="1"/>
  <c r="AD15" i="7"/>
  <c r="AE15" i="7" s="1"/>
  <c r="AG15" i="7"/>
  <c r="AH15" i="7" s="1"/>
  <c r="AA15" i="7"/>
  <c r="AB15" i="7" s="1"/>
  <c r="AC15" i="7"/>
  <c r="W15" i="7"/>
  <c r="O15" i="7"/>
  <c r="P15" i="7" s="1"/>
  <c r="U15" i="7"/>
  <c r="V15" i="7" s="1"/>
  <c r="H16" i="7"/>
  <c r="Z15" i="7"/>
  <c r="N15" i="7"/>
  <c r="AF15" i="7"/>
  <c r="T15" i="7"/>
  <c r="Q15" i="7"/>
  <c r="J16" i="7" l="1"/>
  <c r="L16" i="7" s="1"/>
  <c r="M15" i="7"/>
  <c r="I16" i="7"/>
  <c r="K16" i="7"/>
  <c r="R16" i="7"/>
  <c r="S16" i="7" s="1"/>
  <c r="X16" i="7"/>
  <c r="Y16" i="7" s="1"/>
  <c r="AD16" i="7"/>
  <c r="AE16" i="7" s="1"/>
  <c r="AC16" i="7"/>
  <c r="AG16" i="7"/>
  <c r="AH16" i="7" s="1"/>
  <c r="AA16" i="7"/>
  <c r="AB16" i="7" s="1"/>
  <c r="O16" i="7"/>
  <c r="P16" i="7" s="1"/>
  <c r="W16" i="7"/>
  <c r="U16" i="7"/>
  <c r="V16" i="7" s="1"/>
  <c r="H17" i="7"/>
  <c r="AF16" i="7"/>
  <c r="N16" i="7"/>
  <c r="Z16" i="7"/>
  <c r="T16" i="7"/>
  <c r="Q16" i="7"/>
  <c r="J17" i="7" l="1"/>
  <c r="L17" i="7" s="1"/>
  <c r="M16" i="7"/>
  <c r="I17" i="7"/>
  <c r="K17" i="7"/>
  <c r="R17" i="7"/>
  <c r="S17" i="7" s="1"/>
  <c r="X17" i="7"/>
  <c r="Y17" i="7" s="1"/>
  <c r="AD17" i="7"/>
  <c r="AE17" i="7" s="1"/>
  <c r="U17" i="7"/>
  <c r="V17" i="7" s="1"/>
  <c r="W17" i="7"/>
  <c r="AA17" i="7"/>
  <c r="AB17" i="7" s="1"/>
  <c r="AG17" i="7"/>
  <c r="AH17" i="7" s="1"/>
  <c r="AC17" i="7"/>
  <c r="O17" i="7"/>
  <c r="P17" i="7" s="1"/>
  <c r="H18" i="7"/>
  <c r="N17" i="7"/>
  <c r="AF17" i="7"/>
  <c r="Z17" i="7"/>
  <c r="T17" i="7"/>
  <c r="Q17" i="7"/>
  <c r="J18" i="7" l="1"/>
  <c r="L18" i="7" s="1"/>
  <c r="M17" i="7"/>
  <c r="I18" i="7"/>
  <c r="K18" i="7"/>
  <c r="X18" i="7"/>
  <c r="Y18" i="7" s="1"/>
  <c r="R18" i="7"/>
  <c r="S18" i="7" s="1"/>
  <c r="AD18" i="7"/>
  <c r="AE18" i="7" s="1"/>
  <c r="U18" i="7"/>
  <c r="V18" i="7" s="1"/>
  <c r="O18" i="7"/>
  <c r="P18" i="7" s="1"/>
  <c r="AC18" i="7"/>
  <c r="W18" i="7"/>
  <c r="AA18" i="7"/>
  <c r="AB18" i="7" s="1"/>
  <c r="AG18" i="7"/>
  <c r="AH18" i="7" s="1"/>
  <c r="H19" i="7"/>
  <c r="AF18" i="7"/>
  <c r="T18" i="7"/>
  <c r="Q18" i="7"/>
  <c r="N18" i="7"/>
  <c r="Z18" i="7"/>
  <c r="J19" i="7" l="1"/>
  <c r="L19" i="7" s="1"/>
  <c r="M18" i="7"/>
  <c r="I19" i="7"/>
  <c r="K19" i="7"/>
  <c r="X19" i="7"/>
  <c r="Y19" i="7" s="1"/>
  <c r="AD19" i="7"/>
  <c r="AE19" i="7" s="1"/>
  <c r="R19" i="7"/>
  <c r="S19" i="7" s="1"/>
  <c r="U19" i="7"/>
  <c r="V19" i="7" s="1"/>
  <c r="O19" i="7"/>
  <c r="P19" i="7" s="1"/>
  <c r="AC19" i="7"/>
  <c r="AG19" i="7"/>
  <c r="AH19" i="7" s="1"/>
  <c r="W19" i="7"/>
  <c r="AA19" i="7"/>
  <c r="AB19" i="7" s="1"/>
  <c r="H20" i="7"/>
  <c r="Z19" i="7"/>
  <c r="AF19" i="7"/>
  <c r="T19" i="7"/>
  <c r="Q19" i="7"/>
  <c r="N19" i="7"/>
  <c r="J20" i="7" l="1"/>
  <c r="L20" i="7"/>
  <c r="M19" i="7"/>
  <c r="I20" i="7"/>
  <c r="K20" i="7"/>
  <c r="U20" i="7"/>
  <c r="V20" i="7" s="1"/>
  <c r="R20" i="7"/>
  <c r="S20" i="7" s="1"/>
  <c r="X20" i="7"/>
  <c r="Y20" i="7" s="1"/>
  <c r="AD20" i="7"/>
  <c r="AE20" i="7" s="1"/>
  <c r="W20" i="7"/>
  <c r="AA20" i="7"/>
  <c r="AB20" i="7" s="1"/>
  <c r="AC20" i="7"/>
  <c r="O20" i="7"/>
  <c r="P20" i="7" s="1"/>
  <c r="AG20" i="7"/>
  <c r="AH20" i="7" s="1"/>
  <c r="H21" i="7"/>
  <c r="AF20" i="7"/>
  <c r="N20" i="7"/>
  <c r="Z20" i="7"/>
  <c r="T20" i="7"/>
  <c r="Q20" i="7"/>
  <c r="M20" i="7" l="1"/>
  <c r="J21" i="7"/>
  <c r="L21" i="7" s="1"/>
  <c r="I21" i="7"/>
  <c r="K21" i="7"/>
  <c r="R21" i="7"/>
  <c r="S21" i="7" s="1"/>
  <c r="AD21" i="7"/>
  <c r="AE21" i="7" s="1"/>
  <c r="U21" i="7"/>
  <c r="V21" i="7" s="1"/>
  <c r="X21" i="7"/>
  <c r="Y21" i="7" s="1"/>
  <c r="AA21" i="7"/>
  <c r="AB21" i="7" s="1"/>
  <c r="W21" i="7"/>
  <c r="AG21" i="7"/>
  <c r="AH21" i="7" s="1"/>
  <c r="AC21" i="7"/>
  <c r="O21" i="7"/>
  <c r="P21" i="7" s="1"/>
  <c r="H22" i="7"/>
  <c r="N21" i="7"/>
  <c r="AF21" i="7"/>
  <c r="Z21" i="7"/>
  <c r="T21" i="7"/>
  <c r="Q21" i="7"/>
  <c r="J22" i="7" l="1"/>
  <c r="L22" i="7" s="1"/>
  <c r="M21" i="7"/>
  <c r="I22" i="7"/>
  <c r="K22" i="7"/>
  <c r="AD22" i="7"/>
  <c r="AE22" i="7" s="1"/>
  <c r="U22" i="7"/>
  <c r="V22" i="7" s="1"/>
  <c r="AA22" i="7"/>
  <c r="AB22" i="7" s="1"/>
  <c r="X22" i="7"/>
  <c r="Y22" i="7" s="1"/>
  <c r="R22" i="7"/>
  <c r="S22" i="7" s="1"/>
  <c r="W22" i="7"/>
  <c r="O22" i="7"/>
  <c r="P22" i="7" s="1"/>
  <c r="AC22" i="7"/>
  <c r="AG22" i="7"/>
  <c r="AH22" i="7" s="1"/>
  <c r="H23" i="7"/>
  <c r="AF22" i="7"/>
  <c r="Q22" i="7"/>
  <c r="N22" i="7"/>
  <c r="Z22" i="7"/>
  <c r="T22" i="7"/>
  <c r="J23" i="7" l="1"/>
  <c r="L23" i="7" s="1"/>
  <c r="M22" i="7"/>
  <c r="I23" i="7"/>
  <c r="K23" i="7"/>
  <c r="X23" i="7"/>
  <c r="Y23" i="7" s="1"/>
  <c r="U23" i="7"/>
  <c r="V23" i="7" s="1"/>
  <c r="AD23" i="7"/>
  <c r="AE23" i="7" s="1"/>
  <c r="AA23" i="7"/>
  <c r="AB23" i="7" s="1"/>
  <c r="AG23" i="7"/>
  <c r="AH23" i="7" s="1"/>
  <c r="W23" i="7"/>
  <c r="R23" i="7"/>
  <c r="S23" i="7" s="1"/>
  <c r="AC23" i="7"/>
  <c r="O23" i="7"/>
  <c r="P23" i="7" s="1"/>
  <c r="H24" i="7"/>
  <c r="Z23" i="7"/>
  <c r="T23" i="7"/>
  <c r="N23" i="7"/>
  <c r="AF23" i="7"/>
  <c r="Q23" i="7"/>
  <c r="J24" i="7" l="1"/>
  <c r="L24" i="7" s="1"/>
  <c r="M23" i="7"/>
  <c r="I24" i="7"/>
  <c r="K24" i="7"/>
  <c r="X24" i="7"/>
  <c r="Y24" i="7" s="1"/>
  <c r="AD24" i="7"/>
  <c r="AE24" i="7" s="1"/>
  <c r="AA24" i="7"/>
  <c r="AB24" i="7" s="1"/>
  <c r="U24" i="7"/>
  <c r="V24" i="7" s="1"/>
  <c r="AG24" i="7"/>
  <c r="AH24" i="7" s="1"/>
  <c r="AC24" i="7"/>
  <c r="R24" i="7"/>
  <c r="S24" i="7" s="1"/>
  <c r="O24" i="7"/>
  <c r="P24" i="7" s="1"/>
  <c r="W24" i="7"/>
  <c r="AF24" i="7"/>
  <c r="N24" i="7"/>
  <c r="Z24" i="7"/>
  <c r="T24" i="7"/>
  <c r="Q24" i="7"/>
  <c r="M24" i="7" l="1"/>
  <c r="B6" i="1"/>
  <c r="N5" i="1" s="1"/>
  <c r="B7" i="1"/>
  <c r="N3" i="1" s="1"/>
  <c r="O3" i="1" s="1"/>
  <c r="P3" i="1" l="1"/>
  <c r="M3" i="1"/>
  <c r="M5" i="1"/>
  <c r="M4" i="1"/>
  <c r="M7" i="1"/>
  <c r="M6" i="1"/>
  <c r="Q3" i="1"/>
  <c r="O4" i="1"/>
  <c r="L7" i="1"/>
  <c r="L5" i="1"/>
  <c r="L3" i="1"/>
  <c r="L6" i="1"/>
  <c r="L4" i="1"/>
  <c r="Q4" i="1" l="1"/>
  <c r="P4" i="1"/>
  <c r="O5" i="1"/>
  <c r="P5" i="1" l="1"/>
  <c r="Q5" i="1"/>
  <c r="O6" i="1"/>
  <c r="Q6" i="1" l="1"/>
  <c r="P6" i="1"/>
  <c r="O7" i="1"/>
  <c r="P7" i="1" l="1"/>
  <c r="Q7" i="1"/>
  <c r="O8" i="1"/>
  <c r="Q8" i="1" l="1"/>
  <c r="P8" i="1"/>
  <c r="O9" i="1"/>
  <c r="P9" i="1" l="1"/>
  <c r="Q9" i="1"/>
  <c r="O10" i="1"/>
  <c r="Q10" i="1" l="1"/>
  <c r="P10" i="1"/>
  <c r="O11" i="1"/>
  <c r="P11" i="1" l="1"/>
  <c r="Q11" i="1"/>
  <c r="O12" i="1"/>
  <c r="Q12" i="1" l="1"/>
  <c r="P12" i="1"/>
  <c r="O13" i="1"/>
  <c r="P13" i="1" l="1"/>
  <c r="Q13" i="1"/>
  <c r="O14" i="1"/>
  <c r="Q14" i="1" l="1"/>
  <c r="P14" i="1"/>
  <c r="O15" i="1"/>
  <c r="P15" i="1" l="1"/>
  <c r="Q15" i="1"/>
  <c r="O16" i="1"/>
  <c r="Q16" i="1" l="1"/>
  <c r="P16" i="1"/>
  <c r="O17" i="1"/>
  <c r="P17" i="1" l="1"/>
  <c r="Q17" i="1"/>
  <c r="O18" i="1"/>
  <c r="Q18" i="1" l="1"/>
  <c r="P18" i="1"/>
  <c r="O19" i="1"/>
  <c r="P19" i="1" l="1"/>
  <c r="Q19" i="1"/>
  <c r="O20" i="1"/>
  <c r="Q20" i="1" l="1"/>
  <c r="P20" i="1"/>
  <c r="O21" i="1"/>
  <c r="P21" i="1" l="1"/>
  <c r="Q21" i="1"/>
  <c r="O22" i="1"/>
  <c r="Q22" i="1" l="1"/>
  <c r="P22" i="1"/>
  <c r="O23" i="1"/>
  <c r="P23" i="1" l="1"/>
  <c r="Q23" i="1"/>
  <c r="O24" i="1"/>
  <c r="Q24" i="1" l="1"/>
  <c r="P24" i="1"/>
</calcChain>
</file>

<file path=xl/sharedStrings.xml><?xml version="1.0" encoding="utf-8"?>
<sst xmlns="http://schemas.openxmlformats.org/spreadsheetml/2006/main" count="167" uniqueCount="117">
  <si>
    <t>length list</t>
  </si>
  <si>
    <t>material list</t>
  </si>
  <si>
    <t>period</t>
  </si>
  <si>
    <t>nr periods</t>
  </si>
  <si>
    <t>gap</t>
  </si>
  <si>
    <t>block gap</t>
  </si>
  <si>
    <t>Air box radius</t>
  </si>
  <si>
    <t>Air box length</t>
  </si>
  <si>
    <t>Fine air box length</t>
  </si>
  <si>
    <t>Fine air box mesh</t>
  </si>
  <si>
    <t>Create Delta Model</t>
  </si>
  <si>
    <r>
      <t xml:space="preserve">length unit </t>
    </r>
    <r>
      <rPr>
        <i/>
        <sz val="11"/>
        <rFont val="Arial"/>
        <family val="2"/>
      </rPr>
      <t>(please select from list)</t>
    </r>
  </si>
  <si>
    <r>
      <t xml:space="preserve">magnet material </t>
    </r>
    <r>
      <rPr>
        <i/>
        <sz val="11"/>
        <rFont val="Arial"/>
        <family val="2"/>
      </rPr>
      <t>(please select from list)</t>
    </r>
  </si>
  <si>
    <t>model mesh</t>
  </si>
  <si>
    <t>Vacodym 764AP Br=1.37T</t>
  </si>
  <si>
    <t>Polynomial order</t>
  </si>
  <si>
    <t>Fine air box width</t>
  </si>
  <si>
    <t>Fine air box height</t>
  </si>
  <si>
    <r>
      <rPr>
        <sz val="10"/>
        <rFont val="Calibri"/>
        <family val="2"/>
      </rPr>
      <t>λ</t>
    </r>
    <r>
      <rPr>
        <sz val="10"/>
        <rFont val="Arial"/>
        <family val="2"/>
      </rPr>
      <t>0 [mm]</t>
    </r>
  </si>
  <si>
    <t>B [T]</t>
  </si>
  <si>
    <t>g [mm]</t>
  </si>
  <si>
    <t>pos[m]</t>
  </si>
  <si>
    <t>BSCH [mm]</t>
  </si>
  <si>
    <t>BSCV[mm]</t>
  </si>
  <si>
    <t>Beam Stay Clear - Low Beta</t>
  </si>
  <si>
    <t xml:space="preserve">ID Length [mm] = </t>
  </si>
  <si>
    <t>Horizontal Gap [mm] =</t>
  </si>
  <si>
    <t>Vertical Gap [mm] =</t>
  </si>
  <si>
    <t>straight section</t>
  </si>
  <si>
    <t>low beta</t>
  </si>
  <si>
    <t>high beta</t>
  </si>
  <si>
    <t xml:space="preserve">beam stay clear </t>
  </si>
  <si>
    <t>straight section type (please select from list)</t>
  </si>
  <si>
    <t>Beam Stay Clear - High Beta</t>
  </si>
  <si>
    <t>Total Length [mm]</t>
  </si>
  <si>
    <t>vertical [mm]</t>
  </si>
  <si>
    <t>horizontal [mm]</t>
  </si>
  <si>
    <t>x</t>
  </si>
  <si>
    <t>y</t>
  </si>
  <si>
    <t>side</t>
  </si>
  <si>
    <t>x1</t>
  </si>
  <si>
    <t>y1</t>
  </si>
  <si>
    <t>x2</t>
  </si>
  <si>
    <t>y2</t>
  </si>
  <si>
    <t>x3</t>
  </si>
  <si>
    <t>y3</t>
  </si>
  <si>
    <t>x4</t>
  </si>
  <si>
    <t>y4</t>
  </si>
  <si>
    <t>a</t>
  </si>
  <si>
    <t>b</t>
  </si>
  <si>
    <t>yn</t>
  </si>
  <si>
    <t>K</t>
  </si>
  <si>
    <t>F</t>
  </si>
  <si>
    <t>Magnet Block Representation</t>
  </si>
  <si>
    <t>Constants</t>
  </si>
  <si>
    <t>Particle Charge [c]</t>
  </si>
  <si>
    <t>Mass [kg]</t>
  </si>
  <si>
    <t>Speed of light [m/s]</t>
  </si>
  <si>
    <t>Plank Constant</t>
  </si>
  <si>
    <t>Electron Beam Parameters and Constants</t>
  </si>
  <si>
    <t>Number of Periods</t>
  </si>
  <si>
    <t>K Value</t>
  </si>
  <si>
    <t>Flux</t>
  </si>
  <si>
    <t>Harmonic</t>
  </si>
  <si>
    <t>E0 [eV]</t>
  </si>
  <si>
    <t>Ef [eV]</t>
  </si>
  <si>
    <t>Particle Energy [GeV]</t>
  </si>
  <si>
    <t>Particle Current [A]</t>
  </si>
  <si>
    <t>Circumference [m]</t>
  </si>
  <si>
    <t>Bunches</t>
  </si>
  <si>
    <r>
      <rPr>
        <sz val="12"/>
        <color theme="1"/>
        <rFont val="Calibri"/>
        <family val="2"/>
      </rPr>
      <t>σz [mm] (</t>
    </r>
    <r>
      <rPr>
        <sz val="10"/>
        <rFont val="Arial"/>
        <family val="2"/>
      </rPr>
      <t>Bunche Length)</t>
    </r>
  </si>
  <si>
    <t>Natural Emittance [m.rad]</t>
  </si>
  <si>
    <r>
      <t>Coupling Constant (</t>
    </r>
    <r>
      <rPr>
        <sz val="11"/>
        <color theme="1"/>
        <rFont val="Calibri"/>
        <family val="2"/>
      </rPr>
      <t>εy/εx)</t>
    </r>
  </si>
  <si>
    <t>Energy Spread</t>
  </si>
  <si>
    <t>βx</t>
  </si>
  <si>
    <t>βy</t>
  </si>
  <si>
    <t>1 / γ [mrad]</t>
  </si>
  <si>
    <t>γ [rad]</t>
  </si>
  <si>
    <t>σx [mm] (beam size x)</t>
  </si>
  <si>
    <t>σy [mm] (beam size y)</t>
  </si>
  <si>
    <t>σx' [mrad] (beam divergence x)</t>
  </si>
  <si>
    <t>σy' [mrad] (beam divergence y)</t>
  </si>
  <si>
    <t>λ [nm] (Radiation)</t>
  </si>
  <si>
    <t>E [eV]</t>
  </si>
  <si>
    <t>B</t>
  </si>
  <si>
    <t>peak field [T] (theory)</t>
  </si>
  <si>
    <t>peak field adjust factor</t>
  </si>
  <si>
    <t>peak field [T] (adjusted)</t>
  </si>
  <si>
    <t>ε1st [eV]</t>
  </si>
  <si>
    <t>Beam Stay Clear and magnet limits</t>
  </si>
  <si>
    <t>main parameters</t>
  </si>
  <si>
    <t>undulator parameters</t>
  </si>
  <si>
    <t>Length [mm]</t>
  </si>
  <si>
    <t xml:space="preserve">λ1 [nm] </t>
  </si>
  <si>
    <t>Y1</t>
  </si>
  <si>
    <t>Add terminations</t>
  </si>
  <si>
    <t>Delta Prototype</t>
  </si>
  <si>
    <t>Delta V1</t>
  </si>
  <si>
    <t>Delta V2</t>
  </si>
  <si>
    <t>yp</t>
  </si>
  <si>
    <t>Updates</t>
  </si>
  <si>
    <t xml:space="preserve">Adding block shape options </t>
  </si>
  <si>
    <t>MagNet model parameters</t>
  </si>
  <si>
    <t>Scale</t>
  </si>
  <si>
    <t>Vacodym 764AP Br=1.28T</t>
  </si>
  <si>
    <t>Vacodym 764AP Br=1.31T</t>
  </si>
  <si>
    <t>inches</t>
  </si>
  <si>
    <t>meters</t>
  </si>
  <si>
    <t>centimeters</t>
  </si>
  <si>
    <t>millimeters</t>
  </si>
  <si>
    <t>microns</t>
  </si>
  <si>
    <t>Yes</t>
  </si>
  <si>
    <t>Changing script to create grouped components</t>
  </si>
  <si>
    <t>Delta 52.5</t>
  </si>
  <si>
    <t>Delta 22.0</t>
  </si>
  <si>
    <t>Adding new block shape</t>
  </si>
  <si>
    <t>Power [W]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</si>
</sst>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0.000"/>
    <numFmt numFmtId="165" formatCode="0.0000"/>
    <numFmt numFmtId="166" formatCode="0.000000E+00"/>
    <numFmt numFmtId="167" formatCode="0.0"/>
    <numFmt numFmtId="168" formatCode="0.0%"/>
    <numFmt numFmtId="169" formatCode="0.000E+00"/>
    <numFmt numFmtId="170" formatCode="0.000000"/>
  </numFmts>
  <fonts count="26" x14ac:knownFonts="1">
    <font>
      <sz val="10"/>
      <name val="Arial"/>
    </font>
    <font>
      <b/>
      <sz val="10"/>
      <name val="Arial"/>
      <family val="2"/>
    </font>
    <font>
      <b/>
      <sz val="12"/>
      <name val="Arial"/>
      <family val="2"/>
    </font>
    <font>
      <sz val="8"/>
      <name val="Arial"/>
      <family val="2"/>
    </font>
    <font>
      <sz val="11"/>
      <name val="Arial"/>
      <family val="2"/>
    </font>
    <font>
      <i/>
      <sz val="11"/>
      <name val="Arial"/>
      <family val="2"/>
    </font>
    <font>
      <b/>
      <sz val="11"/>
      <color rgb="FF0070C0"/>
      <name val="Arial"/>
      <family val="2"/>
    </font>
    <font>
      <b/>
      <sz val="10"/>
      <color rgb="FF0070C0"/>
      <name val="Arial"/>
      <family val="2"/>
    </font>
    <font>
      <sz val="10"/>
      <name val="Arial"/>
      <family val="2"/>
    </font>
    <font>
      <sz val="10"/>
      <name val="Calibri"/>
      <family val="2"/>
    </font>
    <font>
      <b/>
      <sz val="22"/>
      <name val="Arial"/>
      <family val="2"/>
    </font>
    <font>
      <sz val="12"/>
      <name val="Arial"/>
      <family val="2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22"/>
      <color theme="0"/>
      <name val="Arial"/>
      <family val="2"/>
    </font>
    <font>
      <b/>
      <sz val="11"/>
      <color theme="5"/>
      <name val="Arial"/>
      <family val="2"/>
    </font>
    <font>
      <b/>
      <sz val="11"/>
      <color rgb="FF002060"/>
      <name val="Arial"/>
      <family val="2"/>
    </font>
    <font>
      <b/>
      <sz val="11"/>
      <name val="Arial"/>
      <family val="2"/>
    </font>
    <font>
      <sz val="11"/>
      <color theme="1"/>
      <name val="Calibri"/>
      <family val="2"/>
    </font>
    <font>
      <sz val="12"/>
      <color theme="1"/>
      <name val="Calibri"/>
      <family val="2"/>
    </font>
    <font>
      <b/>
      <i/>
      <sz val="11"/>
      <name val="Arial"/>
      <family val="2"/>
    </font>
    <font>
      <b/>
      <sz val="11"/>
      <color theme="1"/>
      <name val="Calibri"/>
      <family val="2"/>
    </font>
    <font>
      <u/>
      <sz val="10"/>
      <name val="Arial"/>
      <family val="2"/>
    </font>
    <font>
      <b/>
      <sz val="18"/>
      <color theme="0"/>
      <name val="Arial"/>
      <family val="2"/>
    </font>
    <font>
      <b/>
      <sz val="16"/>
      <color theme="0"/>
      <name val="Arial"/>
      <family val="2"/>
    </font>
    <font>
      <b/>
      <sz val="14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12" fillId="0" borderId="0" applyFont="0" applyFill="0" applyBorder="0" applyAlignment="0" applyProtection="0"/>
  </cellStyleXfs>
  <cellXfs count="105">
    <xf numFmtId="0" fontId="0" fillId="0" borderId="0" xfId="0"/>
    <xf numFmtId="0" fontId="1" fillId="0" borderId="0" xfId="0" applyFont="1"/>
    <xf numFmtId="0" fontId="6" fillId="0" borderId="0" xfId="0" applyFont="1"/>
    <xf numFmtId="0" fontId="7" fillId="0" borderId="0" xfId="0" applyFont="1"/>
    <xf numFmtId="0" fontId="8" fillId="0" borderId="0" xfId="0" applyFont="1"/>
    <xf numFmtId="0" fontId="0" fillId="0" borderId="1" xfId="0" applyBorder="1"/>
    <xf numFmtId="0" fontId="1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2" fillId="2" borderId="1" xfId="0" applyFont="1" applyFill="1" applyBorder="1" applyAlignment="1">
      <alignment horizontal="right"/>
    </xf>
    <xf numFmtId="0" fontId="2" fillId="0" borderId="1" xfId="0" applyFont="1" applyFill="1" applyBorder="1" applyAlignment="1">
      <alignment horizontal="right"/>
    </xf>
    <xf numFmtId="0" fontId="10" fillId="0" borderId="0" xfId="0" applyFont="1" applyAlignment="1"/>
    <xf numFmtId="0" fontId="0" fillId="0" borderId="7" xfId="0" applyBorder="1"/>
    <xf numFmtId="0" fontId="0" fillId="0" borderId="0" xfId="0" applyBorder="1"/>
    <xf numFmtId="0" fontId="0" fillId="0" borderId="8" xfId="0" applyBorder="1"/>
    <xf numFmtId="0" fontId="8" fillId="0" borderId="0" xfId="0" applyFont="1" applyBorder="1"/>
    <xf numFmtId="0" fontId="1" fillId="0" borderId="9" xfId="0" applyFont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9" xfId="0" applyBorder="1"/>
    <xf numFmtId="0" fontId="13" fillId="0" borderId="0" xfId="0" applyFont="1" applyAlignment="1">
      <alignment horizontal="center"/>
    </xf>
    <xf numFmtId="0" fontId="17" fillId="0" borderId="0" xfId="0" applyFont="1"/>
    <xf numFmtId="0" fontId="13" fillId="0" borderId="0" xfId="0" applyFont="1" applyFill="1" applyAlignment="1">
      <alignment horizontal="center"/>
    </xf>
    <xf numFmtId="2" fontId="0" fillId="0" borderId="0" xfId="0" applyNumberFormat="1" applyFill="1" applyAlignment="1">
      <alignment horizontal="center"/>
    </xf>
    <xf numFmtId="2" fontId="15" fillId="0" borderId="0" xfId="0" applyNumberFormat="1" applyFont="1"/>
    <xf numFmtId="0" fontId="13" fillId="0" borderId="0" xfId="0" applyFont="1" applyAlignment="1"/>
    <xf numFmtId="1" fontId="15" fillId="0" borderId="0" xfId="0" applyNumberFormat="1" applyFont="1" applyAlignment="1">
      <alignment horizontal="center"/>
    </xf>
    <xf numFmtId="167" fontId="15" fillId="0" borderId="0" xfId="0" applyNumberFormat="1" applyFont="1" applyAlignment="1">
      <alignment horizontal="center"/>
    </xf>
    <xf numFmtId="11" fontId="13" fillId="0" borderId="0" xfId="0" applyNumberFormat="1" applyFont="1" applyFill="1" applyAlignment="1">
      <alignment horizontal="center"/>
    </xf>
    <xf numFmtId="167" fontId="0" fillId="0" borderId="0" xfId="0" applyNumberFormat="1"/>
    <xf numFmtId="166" fontId="0" fillId="0" borderId="0" xfId="0" applyNumberFormat="1"/>
    <xf numFmtId="0" fontId="2" fillId="0" borderId="0" xfId="0" applyFont="1" applyAlignment="1"/>
    <xf numFmtId="11" fontId="21" fillId="0" borderId="0" xfId="0" applyNumberFormat="1" applyFont="1" applyFill="1" applyAlignment="1">
      <alignment horizontal="center"/>
    </xf>
    <xf numFmtId="11" fontId="0" fillId="0" borderId="0" xfId="0" applyNumberFormat="1"/>
    <xf numFmtId="170" fontId="0" fillId="0" borderId="0" xfId="0" applyNumberFormat="1"/>
    <xf numFmtId="0" fontId="22" fillId="0" borderId="0" xfId="0" applyFont="1"/>
    <xf numFmtId="0" fontId="1" fillId="0" borderId="0" xfId="0" applyFont="1" applyAlignment="1">
      <alignment horizontal="center"/>
    </xf>
    <xf numFmtId="14" fontId="0" fillId="0" borderId="0" xfId="0" applyNumberFormat="1"/>
    <xf numFmtId="0" fontId="14" fillId="0" borderId="5" xfId="0" applyFont="1" applyFill="1" applyBorder="1" applyAlignment="1"/>
    <xf numFmtId="0" fontId="14" fillId="0" borderId="0" xfId="0" applyFont="1" applyFill="1" applyBorder="1" applyAlignment="1"/>
    <xf numFmtId="0" fontId="0" fillId="0" borderId="0" xfId="0" applyFill="1" applyBorder="1"/>
    <xf numFmtId="0" fontId="23" fillId="0" borderId="5" xfId="0" applyFont="1" applyFill="1" applyBorder="1" applyAlignment="1"/>
    <xf numFmtId="0" fontId="17" fillId="0" borderId="7" xfId="0" applyFont="1" applyBorder="1"/>
    <xf numFmtId="0" fontId="4" fillId="0" borderId="7" xfId="0" applyFont="1" applyBorder="1"/>
    <xf numFmtId="166" fontId="15" fillId="0" borderId="8" xfId="0" applyNumberFormat="1" applyFont="1" applyBorder="1"/>
    <xf numFmtId="0" fontId="6" fillId="0" borderId="8" xfId="0" applyFont="1" applyBorder="1"/>
    <xf numFmtId="11" fontId="6" fillId="0" borderId="8" xfId="0" applyNumberFormat="1" applyFont="1" applyBorder="1"/>
    <xf numFmtId="164" fontId="15" fillId="0" borderId="8" xfId="0" applyNumberFormat="1" applyFont="1" applyBorder="1"/>
    <xf numFmtId="169" fontId="6" fillId="0" borderId="8" xfId="0" applyNumberFormat="1" applyFont="1" applyBorder="1"/>
    <xf numFmtId="2" fontId="15" fillId="0" borderId="8" xfId="0" applyNumberFormat="1" applyFont="1" applyBorder="1"/>
    <xf numFmtId="1" fontId="15" fillId="0" borderId="8" xfId="0" applyNumberFormat="1" applyFont="1" applyBorder="1"/>
    <xf numFmtId="0" fontId="18" fillId="0" borderId="10" xfId="0" applyFont="1" applyBorder="1"/>
    <xf numFmtId="2" fontId="15" fillId="0" borderId="12" xfId="0" applyNumberFormat="1" applyFont="1" applyBorder="1"/>
    <xf numFmtId="0" fontId="18" fillId="0" borderId="7" xfId="0" applyFont="1" applyBorder="1"/>
    <xf numFmtId="0" fontId="1" fillId="0" borderId="0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2" fontId="0" fillId="0" borderId="7" xfId="0" applyNumberFormat="1" applyBorder="1"/>
    <xf numFmtId="2" fontId="0" fillId="0" borderId="0" xfId="0" applyNumberFormat="1" applyBorder="1"/>
    <xf numFmtId="2" fontId="1" fillId="0" borderId="7" xfId="0" applyNumberFormat="1" applyFont="1" applyBorder="1" applyAlignment="1">
      <alignment horizontal="center"/>
    </xf>
    <xf numFmtId="2" fontId="1" fillId="0" borderId="0" xfId="0" applyNumberFormat="1" applyFont="1" applyBorder="1" applyAlignment="1">
      <alignment horizontal="center"/>
    </xf>
    <xf numFmtId="0" fontId="20" fillId="0" borderId="7" xfId="0" applyFont="1" applyBorder="1"/>
    <xf numFmtId="0" fontId="16" fillId="0" borderId="8" xfId="0" applyFont="1" applyBorder="1" applyAlignment="1">
      <alignment horizontal="right"/>
    </xf>
    <xf numFmtId="0" fontId="5" fillId="0" borderId="7" xfId="0" applyFont="1" applyBorder="1"/>
    <xf numFmtId="0" fontId="5" fillId="0" borderId="7" xfId="0" applyFont="1" applyBorder="1" applyAlignment="1">
      <alignment horizontal="left" indent="3"/>
    </xf>
    <xf numFmtId="0" fontId="15" fillId="0" borderId="8" xfId="0" applyFont="1" applyBorder="1"/>
    <xf numFmtId="165" fontId="15" fillId="0" borderId="8" xfId="0" applyNumberFormat="1" applyFont="1" applyBorder="1"/>
    <xf numFmtId="168" fontId="6" fillId="0" borderId="8" xfId="1" applyNumberFormat="1" applyFont="1" applyBorder="1"/>
    <xf numFmtId="0" fontId="4" fillId="0" borderId="7" xfId="0" applyFont="1" applyBorder="1" applyAlignment="1">
      <alignment vertical="center"/>
    </xf>
    <xf numFmtId="164" fontId="15" fillId="0" borderId="8" xfId="0" applyNumberFormat="1" applyFont="1" applyBorder="1" applyAlignment="1">
      <alignment vertical="center"/>
    </xf>
    <xf numFmtId="0" fontId="6" fillId="0" borderId="8" xfId="0" applyFont="1" applyBorder="1" applyAlignment="1">
      <alignment horizontal="right"/>
    </xf>
    <xf numFmtId="0" fontId="7" fillId="0" borderId="7" xfId="0" applyFont="1" applyBorder="1"/>
    <xf numFmtId="0" fontId="7" fillId="0" borderId="0" xfId="0" applyFont="1" applyBorder="1"/>
    <xf numFmtId="0" fontId="7" fillId="0" borderId="8" xfId="0" applyFont="1" applyBorder="1"/>
    <xf numFmtId="0" fontId="7" fillId="0" borderId="10" xfId="0" applyFont="1" applyBorder="1"/>
    <xf numFmtId="0" fontId="7" fillId="0" borderId="11" xfId="0" applyFont="1" applyBorder="1"/>
    <xf numFmtId="0" fontId="7" fillId="0" borderId="12" xfId="0" applyFont="1" applyBorder="1"/>
    <xf numFmtId="0" fontId="1" fillId="0" borderId="4" xfId="0" applyFont="1" applyBorder="1"/>
    <xf numFmtId="0" fontId="1" fillId="0" borderId="11" xfId="0" applyFont="1" applyBorder="1" applyAlignment="1">
      <alignment horizontal="center"/>
    </xf>
    <xf numFmtId="0" fontId="1" fillId="0" borderId="11" xfId="0" applyFont="1" applyBorder="1"/>
    <xf numFmtId="0" fontId="1" fillId="0" borderId="12" xfId="0" applyFont="1" applyBorder="1"/>
    <xf numFmtId="0" fontId="1" fillId="0" borderId="13" xfId="0" applyFont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24" fillId="0" borderId="7" xfId="0" applyFont="1" applyFill="1" applyBorder="1" applyAlignment="1">
      <alignment vertical="center"/>
    </xf>
    <xf numFmtId="0" fontId="24" fillId="0" borderId="8" xfId="0" applyFont="1" applyFill="1" applyBorder="1" applyAlignment="1">
      <alignment vertical="center"/>
    </xf>
    <xf numFmtId="0" fontId="1" fillId="0" borderId="10" xfId="0" applyFont="1" applyBorder="1" applyAlignment="1">
      <alignment horizont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1" fillId="2" borderId="1" xfId="0" applyFont="1" applyFill="1" applyBorder="1" applyAlignment="1">
      <alignment horizontal="center"/>
    </xf>
    <xf numFmtId="2" fontId="11" fillId="0" borderId="1" xfId="0" applyNumberFormat="1" applyFont="1" applyFill="1" applyBorder="1" applyAlignment="1">
      <alignment horizontal="center"/>
    </xf>
    <xf numFmtId="2" fontId="11" fillId="0" borderId="2" xfId="0" applyNumberFormat="1" applyFont="1" applyFill="1" applyBorder="1" applyAlignment="1">
      <alignment horizontal="center"/>
    </xf>
    <xf numFmtId="2" fontId="11" fillId="0" borderId="3" xfId="0" applyNumberFormat="1" applyFont="1" applyFill="1" applyBorder="1" applyAlignment="1">
      <alignment horizontal="center"/>
    </xf>
    <xf numFmtId="0" fontId="24" fillId="3" borderId="4" xfId="0" applyFont="1" applyFill="1" applyBorder="1" applyAlignment="1">
      <alignment horizontal="center"/>
    </xf>
    <xf numFmtId="0" fontId="24" fillId="3" borderId="5" xfId="0" applyFont="1" applyFill="1" applyBorder="1" applyAlignment="1">
      <alignment horizontal="center"/>
    </xf>
    <xf numFmtId="0" fontId="24" fillId="3" borderId="6" xfId="0" applyFont="1" applyFill="1" applyBorder="1" applyAlignment="1">
      <alignment horizontal="center"/>
    </xf>
    <xf numFmtId="0" fontId="13" fillId="0" borderId="0" xfId="0" applyFont="1" applyAlignment="1">
      <alignment horizontal="center"/>
    </xf>
    <xf numFmtId="0" fontId="24" fillId="3" borderId="4" xfId="0" applyFont="1" applyFill="1" applyBorder="1" applyAlignment="1">
      <alignment horizontal="center" vertical="center"/>
    </xf>
    <xf numFmtId="0" fontId="24" fillId="3" borderId="6" xfId="0" applyFont="1" applyFill="1" applyBorder="1" applyAlignment="1">
      <alignment horizontal="center" vertic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24" fillId="3" borderId="13" xfId="0" applyFont="1" applyFill="1" applyBorder="1" applyAlignment="1">
      <alignment horizontal="center"/>
    </xf>
    <xf numFmtId="0" fontId="24" fillId="3" borderId="14" xfId="0" applyFont="1" applyFill="1" applyBorder="1" applyAlignment="1">
      <alignment horizontal="center"/>
    </xf>
    <xf numFmtId="0" fontId="24" fillId="3" borderId="15" xfId="0" applyFont="1" applyFill="1" applyBorder="1" applyAlignment="1">
      <alignment horizontal="center"/>
    </xf>
  </cellXfs>
  <cellStyles count="2">
    <cellStyle name="Normal" xfId="0" builtinId="0"/>
    <cellStyle name="Porcentagem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'Block Shapes'!$B$2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'Block Shapes'!$A$3:$A$24</c:f>
              <c:numCache>
                <c:formatCode>General</c:formatCode>
                <c:ptCount val="22"/>
                <c:pt idx="0">
                  <c:v>2.75</c:v>
                </c:pt>
                <c:pt idx="1">
                  <c:v>11.2662</c:v>
                </c:pt>
                <c:pt idx="2">
                  <c:v>7.7307100000000002</c:v>
                </c:pt>
                <c:pt idx="3">
                  <c:v>11.2662</c:v>
                </c:pt>
                <c:pt idx="4">
                  <c:v>2.75</c:v>
                </c:pt>
                <c:pt idx="5">
                  <c:v>-2.75</c:v>
                </c:pt>
                <c:pt idx="6">
                  <c:v>-11.2662</c:v>
                </c:pt>
                <c:pt idx="7">
                  <c:v>-7.7307100000000002</c:v>
                </c:pt>
                <c:pt idx="8">
                  <c:v>-11.2662</c:v>
                </c:pt>
                <c:pt idx="9">
                  <c:v>-2.75</c:v>
                </c:pt>
                <c:pt idx="10">
                  <c:v>2.75</c:v>
                </c:pt>
              </c:numCache>
            </c:numRef>
          </c:xVal>
          <c:yVal>
            <c:numRef>
              <c:f>'Block Shapes'!$B$3:$B$24</c:f>
              <c:numCache>
                <c:formatCode>General</c:formatCode>
                <c:ptCount val="22"/>
                <c:pt idx="0">
                  <c:v>0</c:v>
                </c:pt>
                <c:pt idx="1">
                  <c:v>8.9644999999999992</c:v>
                </c:pt>
                <c:pt idx="2">
                  <c:v>12.5</c:v>
                </c:pt>
                <c:pt idx="3">
                  <c:v>16.035499999999999</c:v>
                </c:pt>
                <c:pt idx="4">
                  <c:v>25</c:v>
                </c:pt>
                <c:pt idx="5">
                  <c:v>25</c:v>
                </c:pt>
                <c:pt idx="6">
                  <c:v>16.035499999999999</c:v>
                </c:pt>
                <c:pt idx="7">
                  <c:v>12.5</c:v>
                </c:pt>
                <c:pt idx="8">
                  <c:v>8.9644999999999992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FEF-4745-BA7E-78F6364B75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362384"/>
        <c:axId val="2009114496"/>
      </c:scatterChart>
      <c:valAx>
        <c:axId val="34362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09114496"/>
        <c:crosses val="autoZero"/>
        <c:crossBetween val="midCat"/>
      </c:valAx>
      <c:valAx>
        <c:axId val="2009114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43623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'Block Shapes'!$E$2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'Block Shapes'!$D$3:$D$24</c:f>
              <c:numCache>
                <c:formatCode>General</c:formatCode>
                <c:ptCount val="22"/>
                <c:pt idx="0">
                  <c:v>2.25</c:v>
                </c:pt>
                <c:pt idx="1">
                  <c:v>11.25</c:v>
                </c:pt>
                <c:pt idx="2">
                  <c:v>11.25</c:v>
                </c:pt>
                <c:pt idx="3">
                  <c:v>-11.25</c:v>
                </c:pt>
                <c:pt idx="4">
                  <c:v>-11.25</c:v>
                </c:pt>
                <c:pt idx="5">
                  <c:v>-2.25</c:v>
                </c:pt>
                <c:pt idx="6">
                  <c:v>2.25</c:v>
                </c:pt>
              </c:numCache>
            </c:numRef>
          </c:xVal>
          <c:yVal>
            <c:numRef>
              <c:f>'Block Shapes'!$E$3:$E$24</c:f>
              <c:numCache>
                <c:formatCode>General</c:formatCode>
                <c:ptCount val="22"/>
                <c:pt idx="0">
                  <c:v>0</c:v>
                </c:pt>
                <c:pt idx="1">
                  <c:v>9.5</c:v>
                </c:pt>
                <c:pt idx="2">
                  <c:v>25</c:v>
                </c:pt>
                <c:pt idx="3">
                  <c:v>25</c:v>
                </c:pt>
                <c:pt idx="4">
                  <c:v>9.5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5F-4106-B689-DF07CCDEC9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328384"/>
        <c:axId val="2019424688"/>
      </c:scatterChart>
      <c:valAx>
        <c:axId val="34328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19424688"/>
        <c:crosses val="autoZero"/>
        <c:crossBetween val="midCat"/>
      </c:valAx>
      <c:valAx>
        <c:axId val="2019424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43283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'Block Shapes'!$H$2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'Block Shapes'!$G$3:$G$24</c:f>
              <c:numCache>
                <c:formatCode>General</c:formatCode>
                <c:ptCount val="22"/>
                <c:pt idx="0">
                  <c:v>2.75</c:v>
                </c:pt>
                <c:pt idx="1">
                  <c:v>11.25</c:v>
                </c:pt>
                <c:pt idx="2">
                  <c:v>11.25</c:v>
                </c:pt>
                <c:pt idx="3">
                  <c:v>8.5</c:v>
                </c:pt>
                <c:pt idx="4">
                  <c:v>11.25</c:v>
                </c:pt>
                <c:pt idx="5">
                  <c:v>11.25</c:v>
                </c:pt>
                <c:pt idx="6">
                  <c:v>-11.25</c:v>
                </c:pt>
                <c:pt idx="7">
                  <c:v>-11.25</c:v>
                </c:pt>
                <c:pt idx="8">
                  <c:v>-8.5</c:v>
                </c:pt>
                <c:pt idx="9">
                  <c:v>-11.25</c:v>
                </c:pt>
                <c:pt idx="10">
                  <c:v>-11.25</c:v>
                </c:pt>
                <c:pt idx="11">
                  <c:v>-2.75</c:v>
                </c:pt>
                <c:pt idx="12">
                  <c:v>2.75</c:v>
                </c:pt>
              </c:numCache>
            </c:numRef>
          </c:xVal>
          <c:yVal>
            <c:numRef>
              <c:f>'Block Shapes'!$H$3:$H$24</c:f>
              <c:numCache>
                <c:formatCode>General</c:formatCode>
                <c:ptCount val="22"/>
                <c:pt idx="0">
                  <c:v>0</c:v>
                </c:pt>
                <c:pt idx="1">
                  <c:v>9.5</c:v>
                </c:pt>
                <c:pt idx="2">
                  <c:v>15.75</c:v>
                </c:pt>
                <c:pt idx="3">
                  <c:v>18.5</c:v>
                </c:pt>
                <c:pt idx="4">
                  <c:v>21.25</c:v>
                </c:pt>
                <c:pt idx="5">
                  <c:v>25</c:v>
                </c:pt>
                <c:pt idx="6">
                  <c:v>25</c:v>
                </c:pt>
                <c:pt idx="7">
                  <c:v>21.25</c:v>
                </c:pt>
                <c:pt idx="8">
                  <c:v>18.5</c:v>
                </c:pt>
                <c:pt idx="9">
                  <c:v>15.75</c:v>
                </c:pt>
                <c:pt idx="10">
                  <c:v>9.5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80-40A4-B783-498E12065C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589152"/>
        <c:axId val="2009125312"/>
      </c:scatterChart>
      <c:valAx>
        <c:axId val="635891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09125312"/>
        <c:crosses val="autoZero"/>
        <c:crossBetween val="midCat"/>
      </c:valAx>
      <c:valAx>
        <c:axId val="2009125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35891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'Block Shapes'!$K$2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'Block Shapes'!$J$3:$J$17</c:f>
              <c:numCache>
                <c:formatCode>General</c:formatCode>
                <c:ptCount val="15"/>
                <c:pt idx="0">
                  <c:v>2.75</c:v>
                </c:pt>
                <c:pt idx="1">
                  <c:v>11.25</c:v>
                </c:pt>
                <c:pt idx="2">
                  <c:v>11.25</c:v>
                </c:pt>
                <c:pt idx="3">
                  <c:v>8.5</c:v>
                </c:pt>
                <c:pt idx="4">
                  <c:v>11.25</c:v>
                </c:pt>
                <c:pt idx="5">
                  <c:v>11.25</c:v>
                </c:pt>
                <c:pt idx="6">
                  <c:v>10.75</c:v>
                </c:pt>
                <c:pt idx="7">
                  <c:v>-10.75</c:v>
                </c:pt>
                <c:pt idx="8">
                  <c:v>-11.25</c:v>
                </c:pt>
                <c:pt idx="9">
                  <c:v>-11.25</c:v>
                </c:pt>
                <c:pt idx="10">
                  <c:v>-8.5</c:v>
                </c:pt>
                <c:pt idx="11">
                  <c:v>-11.25</c:v>
                </c:pt>
                <c:pt idx="12">
                  <c:v>-11.25</c:v>
                </c:pt>
                <c:pt idx="13">
                  <c:v>-2.75</c:v>
                </c:pt>
                <c:pt idx="14">
                  <c:v>2.75</c:v>
                </c:pt>
              </c:numCache>
            </c:numRef>
          </c:xVal>
          <c:yVal>
            <c:numRef>
              <c:f>'Block Shapes'!$K$3:$K$17</c:f>
              <c:numCache>
                <c:formatCode>General</c:formatCode>
                <c:ptCount val="15"/>
                <c:pt idx="0">
                  <c:v>0</c:v>
                </c:pt>
                <c:pt idx="1">
                  <c:v>9.5</c:v>
                </c:pt>
                <c:pt idx="2">
                  <c:v>10.5</c:v>
                </c:pt>
                <c:pt idx="3">
                  <c:v>13.5</c:v>
                </c:pt>
                <c:pt idx="4">
                  <c:v>16.5</c:v>
                </c:pt>
                <c:pt idx="5">
                  <c:v>24.5</c:v>
                </c:pt>
                <c:pt idx="6">
                  <c:v>25</c:v>
                </c:pt>
                <c:pt idx="7">
                  <c:v>25</c:v>
                </c:pt>
                <c:pt idx="8">
                  <c:v>24.5</c:v>
                </c:pt>
                <c:pt idx="9">
                  <c:v>16.5</c:v>
                </c:pt>
                <c:pt idx="10">
                  <c:v>13.5</c:v>
                </c:pt>
                <c:pt idx="11">
                  <c:v>10.5</c:v>
                </c:pt>
                <c:pt idx="12">
                  <c:v>9.5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27-40BD-B5E7-1873915C51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573952"/>
        <c:axId val="2019425936"/>
      </c:scatterChart>
      <c:valAx>
        <c:axId val="635739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19425936"/>
        <c:crosses val="autoZero"/>
        <c:crossBetween val="midCat"/>
      </c:valAx>
      <c:valAx>
        <c:axId val="2019425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35739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y</c:v>
          </c:tx>
          <c:spPr>
            <a:ln w="19050" cap="rnd">
              <a:solidFill>
                <a:srgbClr val="00206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Lit>
              <c:formatCode>General</c:formatCode>
              <c:ptCount val="15"/>
              <c:pt idx="0">
                <c:v>5.5</c:v>
              </c:pt>
              <c:pt idx="1">
                <c:v>22.5</c:v>
              </c:pt>
              <c:pt idx="2">
                <c:v>22.5</c:v>
              </c:pt>
              <c:pt idx="3">
                <c:v>16.5</c:v>
              </c:pt>
              <c:pt idx="4">
                <c:v>22.5</c:v>
              </c:pt>
              <c:pt idx="5">
                <c:v>22.5</c:v>
              </c:pt>
              <c:pt idx="6">
                <c:v>21.5</c:v>
              </c:pt>
              <c:pt idx="7">
                <c:v>-21.5</c:v>
              </c:pt>
              <c:pt idx="8">
                <c:v>-22.5</c:v>
              </c:pt>
              <c:pt idx="9">
                <c:v>-22.5</c:v>
              </c:pt>
              <c:pt idx="10">
                <c:v>-16.5</c:v>
              </c:pt>
              <c:pt idx="11">
                <c:v>-22.5</c:v>
              </c:pt>
              <c:pt idx="12">
                <c:v>-22.5</c:v>
              </c:pt>
              <c:pt idx="13">
                <c:v>-5.5</c:v>
              </c:pt>
              <c:pt idx="14">
                <c:v>5.5</c:v>
              </c:pt>
            </c:numLit>
          </c:xVal>
          <c:yVal>
            <c:numLit>
              <c:formatCode>General</c:formatCode>
              <c:ptCount val="15"/>
              <c:pt idx="0">
                <c:v>0</c:v>
              </c:pt>
              <c:pt idx="1">
                <c:v>19</c:v>
              </c:pt>
              <c:pt idx="2">
                <c:v>24</c:v>
              </c:pt>
              <c:pt idx="3">
                <c:v>30</c:v>
              </c:pt>
              <c:pt idx="4">
                <c:v>36</c:v>
              </c:pt>
              <c:pt idx="5">
                <c:v>49</c:v>
              </c:pt>
              <c:pt idx="6">
                <c:v>50</c:v>
              </c:pt>
              <c:pt idx="7">
                <c:v>50</c:v>
              </c:pt>
              <c:pt idx="8">
                <c:v>49</c:v>
              </c:pt>
              <c:pt idx="9">
                <c:v>36</c:v>
              </c:pt>
              <c:pt idx="10">
                <c:v>30</c:v>
              </c:pt>
              <c:pt idx="11">
                <c:v>24</c:v>
              </c:pt>
              <c:pt idx="12">
                <c:v>19</c:v>
              </c:pt>
              <c:pt idx="13">
                <c:v>0</c:v>
              </c:pt>
              <c:pt idx="14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F8A8-482E-8555-578B3A1CEF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7837231"/>
        <c:axId val="1167428959"/>
      </c:scatterChart>
      <c:valAx>
        <c:axId val="112783723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67428959"/>
        <c:crosses val="autoZero"/>
        <c:crossBetween val="midCat"/>
      </c:valAx>
      <c:valAx>
        <c:axId val="1167428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2783723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Beam Stay</a:t>
            </a:r>
            <a:r>
              <a:rPr lang="en-US" baseline="0"/>
              <a:t> Clear Horizontal - Low Beta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'Beam Stay Clear'!$B$7</c:f>
              <c:strCache>
                <c:ptCount val="1"/>
                <c:pt idx="0">
                  <c:v>BSCH [mm]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1"/>
            <c:trendlineLbl>
              <c:layout>
                <c:manualLayout>
                  <c:x val="-0.26932042869641293"/>
                  <c:y val="1.543853893263342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</c:trendlineLbl>
          </c:trendline>
          <c:xVal>
            <c:numRef>
              <c:f>'Beam Stay Clear'!$A$8:$A$40</c:f>
              <c:numCache>
                <c:formatCode>General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0.1</c:v>
                </c:pt>
                <c:pt idx="3">
                  <c:v>0.2</c:v>
                </c:pt>
                <c:pt idx="4">
                  <c:v>0.3</c:v>
                </c:pt>
                <c:pt idx="5">
                  <c:v>0.4</c:v>
                </c:pt>
                <c:pt idx="6">
                  <c:v>0.5</c:v>
                </c:pt>
                <c:pt idx="7">
                  <c:v>0.6</c:v>
                </c:pt>
                <c:pt idx="8">
                  <c:v>0.7</c:v>
                </c:pt>
                <c:pt idx="9">
                  <c:v>0.8</c:v>
                </c:pt>
                <c:pt idx="10">
                  <c:v>0.9</c:v>
                </c:pt>
                <c:pt idx="11">
                  <c:v>1</c:v>
                </c:pt>
                <c:pt idx="12">
                  <c:v>1</c:v>
                </c:pt>
                <c:pt idx="13">
                  <c:v>1.1000000000000001</c:v>
                </c:pt>
                <c:pt idx="14">
                  <c:v>1.2</c:v>
                </c:pt>
                <c:pt idx="15">
                  <c:v>1.3</c:v>
                </c:pt>
                <c:pt idx="16">
                  <c:v>1.4</c:v>
                </c:pt>
                <c:pt idx="17">
                  <c:v>1.5</c:v>
                </c:pt>
                <c:pt idx="18">
                  <c:v>1.5989</c:v>
                </c:pt>
                <c:pt idx="19">
                  <c:v>1.6978</c:v>
                </c:pt>
                <c:pt idx="20">
                  <c:v>1.7967</c:v>
                </c:pt>
                <c:pt idx="21">
                  <c:v>1.8956</c:v>
                </c:pt>
                <c:pt idx="22">
                  <c:v>1.9944999999999999</c:v>
                </c:pt>
                <c:pt idx="23">
                  <c:v>2.0933999999999999</c:v>
                </c:pt>
                <c:pt idx="24">
                  <c:v>2.1922999999999999</c:v>
                </c:pt>
                <c:pt idx="25">
                  <c:v>2.2911999999999999</c:v>
                </c:pt>
                <c:pt idx="26">
                  <c:v>2.3900999999999999</c:v>
                </c:pt>
                <c:pt idx="27">
                  <c:v>2.4889999999999999</c:v>
                </c:pt>
                <c:pt idx="28">
                  <c:v>2.5878999999999999</c:v>
                </c:pt>
                <c:pt idx="29">
                  <c:v>2.6879</c:v>
                </c:pt>
                <c:pt idx="30">
                  <c:v>2.7879</c:v>
                </c:pt>
                <c:pt idx="31">
                  <c:v>2.8879000000000001</c:v>
                </c:pt>
                <c:pt idx="32">
                  <c:v>2.9878999999999998</c:v>
                </c:pt>
              </c:numCache>
            </c:numRef>
          </c:xVal>
          <c:yVal>
            <c:numRef>
              <c:f>'Beam Stay Clear'!$B$8:$B$40</c:f>
              <c:numCache>
                <c:formatCode>General</c:formatCode>
                <c:ptCount val="33"/>
                <c:pt idx="0">
                  <c:v>3.1895799999999999</c:v>
                </c:pt>
                <c:pt idx="1">
                  <c:v>3.1895799999999999</c:v>
                </c:pt>
                <c:pt idx="2">
                  <c:v>3.1982200000000001</c:v>
                </c:pt>
                <c:pt idx="3">
                  <c:v>3.2240099999999998</c:v>
                </c:pt>
                <c:pt idx="4">
                  <c:v>3.26654</c:v>
                </c:pt>
                <c:pt idx="5">
                  <c:v>3.32517</c:v>
                </c:pt>
                <c:pt idx="6">
                  <c:v>3.39906</c:v>
                </c:pt>
                <c:pt idx="7">
                  <c:v>3.48725</c:v>
                </c:pt>
                <c:pt idx="8">
                  <c:v>3.5886800000000001</c:v>
                </c:pt>
                <c:pt idx="9">
                  <c:v>3.7022699999999999</c:v>
                </c:pt>
                <c:pt idx="10">
                  <c:v>3.8269199999999999</c:v>
                </c:pt>
                <c:pt idx="11">
                  <c:v>3.9615999999999998</c:v>
                </c:pt>
                <c:pt idx="12">
                  <c:v>3.9615999999999998</c:v>
                </c:pt>
                <c:pt idx="13">
                  <c:v>4.1053199999999999</c:v>
                </c:pt>
                <c:pt idx="14">
                  <c:v>4.2571700000000003</c:v>
                </c:pt>
                <c:pt idx="15">
                  <c:v>4.4162999999999997</c:v>
                </c:pt>
                <c:pt idx="16">
                  <c:v>4.5819599999999996</c:v>
                </c:pt>
                <c:pt idx="17">
                  <c:v>4.7534599999999996</c:v>
                </c:pt>
                <c:pt idx="18">
                  <c:v>4.9282300000000001</c:v>
                </c:pt>
                <c:pt idx="19">
                  <c:v>5.1075900000000001</c:v>
                </c:pt>
                <c:pt idx="20">
                  <c:v>5.29108</c:v>
                </c:pt>
                <c:pt idx="21">
                  <c:v>5.4782799999999998</c:v>
                </c:pt>
                <c:pt idx="22">
                  <c:v>5.6688299999999998</c:v>
                </c:pt>
                <c:pt idx="23">
                  <c:v>5.8624000000000001</c:v>
                </c:pt>
                <c:pt idx="24">
                  <c:v>6.0586900000000004</c:v>
                </c:pt>
                <c:pt idx="25">
                  <c:v>6.25746</c:v>
                </c:pt>
                <c:pt idx="26">
                  <c:v>6.4584700000000002</c:v>
                </c:pt>
                <c:pt idx="27">
                  <c:v>6.66153</c:v>
                </c:pt>
                <c:pt idx="28">
                  <c:v>6.8664399999999999</c:v>
                </c:pt>
                <c:pt idx="29">
                  <c:v>7.0753599999999999</c:v>
                </c:pt>
                <c:pt idx="30">
                  <c:v>7.2858700000000001</c:v>
                </c:pt>
                <c:pt idx="31">
                  <c:v>7.4978199999999999</c:v>
                </c:pt>
                <c:pt idx="32">
                  <c:v>7.7111200000000002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A6-40C3-8F70-596D3E6C3A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7620848"/>
        <c:axId val="517621832"/>
      </c:scatterChart>
      <c:valAx>
        <c:axId val="517620848"/>
        <c:scaling>
          <c:orientation val="minMax"/>
          <c:max val="3"/>
        </c:scaling>
        <c:delete val="0"/>
        <c:axPos val="b"/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17621832"/>
        <c:crosses val="autoZero"/>
        <c:crossBetween val="midCat"/>
      </c:valAx>
      <c:valAx>
        <c:axId val="517621832"/>
        <c:scaling>
          <c:orientation val="minMax"/>
          <c:min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BSCH</a:t>
                </a:r>
                <a:r>
                  <a:rPr lang="pt-BR" baseline="0"/>
                  <a:t> [mm]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17620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0" i="0" baseline="0">
                <a:effectLst/>
              </a:rPr>
              <a:t>Beam Stay Clear Vertical - Low Beta</a:t>
            </a:r>
            <a:endParaRPr lang="pt-BR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'Beam Stay Clear'!$C$7</c:f>
              <c:strCache>
                <c:ptCount val="1"/>
                <c:pt idx="0">
                  <c:v>BSCV[mm]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wer"/>
            <c:dispRSqr val="0"/>
            <c:dispEq val="0"/>
          </c:trendline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1"/>
            <c:trendlineLbl>
              <c:layout>
                <c:manualLayout>
                  <c:x val="-0.24995253718285215"/>
                  <c:y val="-2.952938174394867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</c:trendlineLbl>
          </c:trendline>
          <c:xVal>
            <c:numRef>
              <c:f>'Beam Stay Clear'!$A$8:$A$40</c:f>
              <c:numCache>
                <c:formatCode>General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0.1</c:v>
                </c:pt>
                <c:pt idx="3">
                  <c:v>0.2</c:v>
                </c:pt>
                <c:pt idx="4">
                  <c:v>0.3</c:v>
                </c:pt>
                <c:pt idx="5">
                  <c:v>0.4</c:v>
                </c:pt>
                <c:pt idx="6">
                  <c:v>0.5</c:v>
                </c:pt>
                <c:pt idx="7">
                  <c:v>0.6</c:v>
                </c:pt>
                <c:pt idx="8">
                  <c:v>0.7</c:v>
                </c:pt>
                <c:pt idx="9">
                  <c:v>0.8</c:v>
                </c:pt>
                <c:pt idx="10">
                  <c:v>0.9</c:v>
                </c:pt>
                <c:pt idx="11">
                  <c:v>1</c:v>
                </c:pt>
                <c:pt idx="12">
                  <c:v>1</c:v>
                </c:pt>
                <c:pt idx="13">
                  <c:v>1.1000000000000001</c:v>
                </c:pt>
                <c:pt idx="14">
                  <c:v>1.2</c:v>
                </c:pt>
                <c:pt idx="15">
                  <c:v>1.3</c:v>
                </c:pt>
                <c:pt idx="16">
                  <c:v>1.4</c:v>
                </c:pt>
                <c:pt idx="17">
                  <c:v>1.5</c:v>
                </c:pt>
                <c:pt idx="18">
                  <c:v>1.5989</c:v>
                </c:pt>
                <c:pt idx="19">
                  <c:v>1.6978</c:v>
                </c:pt>
                <c:pt idx="20">
                  <c:v>1.7967</c:v>
                </c:pt>
                <c:pt idx="21">
                  <c:v>1.8956</c:v>
                </c:pt>
                <c:pt idx="22">
                  <c:v>1.9944999999999999</c:v>
                </c:pt>
                <c:pt idx="23">
                  <c:v>2.0933999999999999</c:v>
                </c:pt>
                <c:pt idx="24">
                  <c:v>2.1922999999999999</c:v>
                </c:pt>
                <c:pt idx="25">
                  <c:v>2.2911999999999999</c:v>
                </c:pt>
                <c:pt idx="26">
                  <c:v>2.3900999999999999</c:v>
                </c:pt>
                <c:pt idx="27">
                  <c:v>2.4889999999999999</c:v>
                </c:pt>
                <c:pt idx="28">
                  <c:v>2.5878999999999999</c:v>
                </c:pt>
                <c:pt idx="29">
                  <c:v>2.6879</c:v>
                </c:pt>
                <c:pt idx="30">
                  <c:v>2.7879</c:v>
                </c:pt>
                <c:pt idx="31">
                  <c:v>2.8879000000000001</c:v>
                </c:pt>
                <c:pt idx="32">
                  <c:v>2.9878999999999998</c:v>
                </c:pt>
              </c:numCache>
            </c:numRef>
          </c:xVal>
          <c:yVal>
            <c:numRef>
              <c:f>'Beam Stay Clear'!$C$8:$C$40</c:f>
              <c:numCache>
                <c:formatCode>General</c:formatCode>
                <c:ptCount val="33"/>
                <c:pt idx="0">
                  <c:v>1.9079600000000001</c:v>
                </c:pt>
                <c:pt idx="1">
                  <c:v>1.9079600000000001</c:v>
                </c:pt>
                <c:pt idx="2">
                  <c:v>1.91168</c:v>
                </c:pt>
                <c:pt idx="3">
                  <c:v>1.9228099999999999</c:v>
                </c:pt>
                <c:pt idx="4">
                  <c:v>1.9412100000000001</c:v>
                </c:pt>
                <c:pt idx="5">
                  <c:v>1.96669</c:v>
                </c:pt>
                <c:pt idx="6">
                  <c:v>1.9989600000000001</c:v>
                </c:pt>
                <c:pt idx="7">
                  <c:v>2.0377200000000002</c:v>
                </c:pt>
                <c:pt idx="8">
                  <c:v>2.0825900000000002</c:v>
                </c:pt>
                <c:pt idx="9">
                  <c:v>2.1331899999999999</c:v>
                </c:pt>
                <c:pt idx="10">
                  <c:v>2.18913</c:v>
                </c:pt>
                <c:pt idx="11">
                  <c:v>2.25</c:v>
                </c:pt>
                <c:pt idx="12">
                  <c:v>2.25</c:v>
                </c:pt>
                <c:pt idx="13">
                  <c:v>2.31542</c:v>
                </c:pt>
                <c:pt idx="14">
                  <c:v>2.3850099999999999</c:v>
                </c:pt>
                <c:pt idx="15">
                  <c:v>2.4584199999999998</c:v>
                </c:pt>
                <c:pt idx="16">
                  <c:v>2.53531</c:v>
                </c:pt>
                <c:pt idx="17">
                  <c:v>2.6153900000000001</c:v>
                </c:pt>
                <c:pt idx="18">
                  <c:v>2.6974300000000002</c:v>
                </c:pt>
                <c:pt idx="19">
                  <c:v>2.7820499999999999</c:v>
                </c:pt>
                <c:pt idx="20">
                  <c:v>2.86903</c:v>
                </c:pt>
                <c:pt idx="21">
                  <c:v>2.9581499999999998</c:v>
                </c:pt>
                <c:pt idx="22">
                  <c:v>3.0492400000000002</c:v>
                </c:pt>
                <c:pt idx="23">
                  <c:v>3.1421100000000002</c:v>
                </c:pt>
                <c:pt idx="24">
                  <c:v>3.2366100000000002</c:v>
                </c:pt>
                <c:pt idx="25">
                  <c:v>3.3326099999999999</c:v>
                </c:pt>
                <c:pt idx="26">
                  <c:v>3.42997</c:v>
                </c:pt>
                <c:pt idx="27">
                  <c:v>3.5285899999999999</c:v>
                </c:pt>
                <c:pt idx="28">
                  <c:v>3.6283699999999999</c:v>
                </c:pt>
                <c:pt idx="29">
                  <c:v>3.7303299999999999</c:v>
                </c:pt>
                <c:pt idx="30">
                  <c:v>3.8332999999999999</c:v>
                </c:pt>
                <c:pt idx="31">
                  <c:v>3.9371800000000001</c:v>
                </c:pt>
                <c:pt idx="32">
                  <c:v>4.0419099999999997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F6-4ABF-9AB0-C045D46668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7620848"/>
        <c:axId val="517621832"/>
      </c:scatterChart>
      <c:valAx>
        <c:axId val="517620848"/>
        <c:scaling>
          <c:orientation val="minMax"/>
          <c:max val="3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position [m]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17621832"/>
        <c:crosses val="autoZero"/>
        <c:crossBetween val="midCat"/>
      </c:valAx>
      <c:valAx>
        <c:axId val="517621832"/>
        <c:scaling>
          <c:orientation val="minMax"/>
          <c:min val="1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BSCV [mm]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17620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Beam Stay</a:t>
            </a:r>
            <a:r>
              <a:rPr lang="en-US" baseline="0"/>
              <a:t> Clear Horizontal - High Beta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'Beam Stay Clear'!$L$7</c:f>
              <c:strCache>
                <c:ptCount val="1"/>
                <c:pt idx="0">
                  <c:v>BSCH [mm]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1"/>
            <c:trendlineLbl>
              <c:layout>
                <c:manualLayout>
                  <c:x val="-0.31015538540714283"/>
                  <c:y val="-3.4494750656168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</c:trendlineLbl>
          </c:trendline>
          <c:xVal>
            <c:numRef>
              <c:f>'Beam Stay Clear'!$K$8:$K$43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9.5750000000000002E-2</c:v>
                </c:pt>
                <c:pt idx="4">
                  <c:v>0.1915</c:v>
                </c:pt>
                <c:pt idx="5">
                  <c:v>0.28725000000000001</c:v>
                </c:pt>
                <c:pt idx="6">
                  <c:v>0.38300000000000001</c:v>
                </c:pt>
                <c:pt idx="7">
                  <c:v>0.47875000000000001</c:v>
                </c:pt>
                <c:pt idx="8">
                  <c:v>0.57450000000000001</c:v>
                </c:pt>
                <c:pt idx="9">
                  <c:v>0.67025000000000001</c:v>
                </c:pt>
                <c:pt idx="10">
                  <c:v>0.76600000000000001</c:v>
                </c:pt>
                <c:pt idx="11">
                  <c:v>0.86175000000000002</c:v>
                </c:pt>
                <c:pt idx="12">
                  <c:v>0.95750000000000002</c:v>
                </c:pt>
                <c:pt idx="13">
                  <c:v>1.05325</c:v>
                </c:pt>
                <c:pt idx="14">
                  <c:v>1.149</c:v>
                </c:pt>
                <c:pt idx="15">
                  <c:v>1.24475</c:v>
                </c:pt>
                <c:pt idx="16">
                  <c:v>1.3405</c:v>
                </c:pt>
                <c:pt idx="17">
                  <c:v>1.43625</c:v>
                </c:pt>
                <c:pt idx="18">
                  <c:v>1.532</c:v>
                </c:pt>
                <c:pt idx="19">
                  <c:v>1.62775</c:v>
                </c:pt>
                <c:pt idx="20">
                  <c:v>1.7235</c:v>
                </c:pt>
                <c:pt idx="21">
                  <c:v>1.81925</c:v>
                </c:pt>
                <c:pt idx="22">
                  <c:v>1.915</c:v>
                </c:pt>
                <c:pt idx="23">
                  <c:v>2.0150000000000001</c:v>
                </c:pt>
                <c:pt idx="24">
                  <c:v>2.1150000000000002</c:v>
                </c:pt>
                <c:pt idx="25">
                  <c:v>2.2149999999999999</c:v>
                </c:pt>
                <c:pt idx="26">
                  <c:v>2.3149999999999999</c:v>
                </c:pt>
                <c:pt idx="27">
                  <c:v>2.375</c:v>
                </c:pt>
                <c:pt idx="28">
                  <c:v>2.375</c:v>
                </c:pt>
                <c:pt idx="29">
                  <c:v>2.4750000000000001</c:v>
                </c:pt>
                <c:pt idx="30">
                  <c:v>2.4750000000000001</c:v>
                </c:pt>
                <c:pt idx="31">
                  <c:v>2.5750000000000002</c:v>
                </c:pt>
                <c:pt idx="32">
                  <c:v>2.665</c:v>
                </c:pt>
                <c:pt idx="33">
                  <c:v>2.7549999999999999</c:v>
                </c:pt>
                <c:pt idx="34">
                  <c:v>2.8450000000000002</c:v>
                </c:pt>
                <c:pt idx="35">
                  <c:v>2.9350000000000001</c:v>
                </c:pt>
              </c:numCache>
            </c:numRef>
          </c:xVal>
          <c:yVal>
            <c:numRef>
              <c:f>'Beam Stay Clear'!$L$8:$L$43</c:f>
              <c:numCache>
                <c:formatCode>General</c:formatCode>
                <c:ptCount val="36"/>
                <c:pt idx="0">
                  <c:v>11.54238</c:v>
                </c:pt>
                <c:pt idx="1">
                  <c:v>11.54238</c:v>
                </c:pt>
                <c:pt idx="2">
                  <c:v>11.54238</c:v>
                </c:pt>
                <c:pt idx="3">
                  <c:v>11.54255</c:v>
                </c:pt>
                <c:pt idx="4">
                  <c:v>11.543049999999999</c:v>
                </c:pt>
                <c:pt idx="5">
                  <c:v>11.543889999999999</c:v>
                </c:pt>
                <c:pt idx="6">
                  <c:v>11.545059999999999</c:v>
                </c:pt>
                <c:pt idx="7">
                  <c:v>11.546569999999999</c:v>
                </c:pt>
                <c:pt idx="8">
                  <c:v>11.548410000000001</c:v>
                </c:pt>
                <c:pt idx="9">
                  <c:v>11.55059</c:v>
                </c:pt>
                <c:pt idx="10">
                  <c:v>11.553089999999999</c:v>
                </c:pt>
                <c:pt idx="11">
                  <c:v>11.55594</c:v>
                </c:pt>
                <c:pt idx="12">
                  <c:v>11.55912</c:v>
                </c:pt>
                <c:pt idx="13">
                  <c:v>11.56263</c:v>
                </c:pt>
                <c:pt idx="14">
                  <c:v>11.566470000000001</c:v>
                </c:pt>
                <c:pt idx="15">
                  <c:v>11.570650000000001</c:v>
                </c:pt>
                <c:pt idx="16">
                  <c:v>11.575150000000001</c:v>
                </c:pt>
                <c:pt idx="17">
                  <c:v>11.57999</c:v>
                </c:pt>
                <c:pt idx="18">
                  <c:v>11.58517</c:v>
                </c:pt>
                <c:pt idx="19">
                  <c:v>11.590669999999999</c:v>
                </c:pt>
                <c:pt idx="20">
                  <c:v>11.596500000000001</c:v>
                </c:pt>
                <c:pt idx="21">
                  <c:v>11.60267</c:v>
                </c:pt>
                <c:pt idx="22">
                  <c:v>11.609159999999999</c:v>
                </c:pt>
                <c:pt idx="23">
                  <c:v>11.616300000000001</c:v>
                </c:pt>
                <c:pt idx="24">
                  <c:v>11.62379</c:v>
                </c:pt>
                <c:pt idx="25">
                  <c:v>11.631640000000001</c:v>
                </c:pt>
                <c:pt idx="26">
                  <c:v>11.639849999999999</c:v>
                </c:pt>
                <c:pt idx="27">
                  <c:v>11.64494</c:v>
                </c:pt>
                <c:pt idx="28">
                  <c:v>11.64494</c:v>
                </c:pt>
                <c:pt idx="29">
                  <c:v>11.65372</c:v>
                </c:pt>
                <c:pt idx="30">
                  <c:v>11.65372</c:v>
                </c:pt>
                <c:pt idx="31">
                  <c:v>11.662850000000001</c:v>
                </c:pt>
                <c:pt idx="32">
                  <c:v>11.67137</c:v>
                </c:pt>
                <c:pt idx="33">
                  <c:v>11.68017</c:v>
                </c:pt>
                <c:pt idx="34">
                  <c:v>11.68927</c:v>
                </c:pt>
                <c:pt idx="35">
                  <c:v>11.698639999999999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27E-48EE-856E-CB56817896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7620848"/>
        <c:axId val="517621832"/>
      </c:scatterChart>
      <c:valAx>
        <c:axId val="517620848"/>
        <c:scaling>
          <c:orientation val="minMax"/>
          <c:max val="3"/>
        </c:scaling>
        <c:delete val="0"/>
        <c:axPos val="b"/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17621832"/>
        <c:crosses val="autoZero"/>
        <c:crossBetween val="midCat"/>
      </c:valAx>
      <c:valAx>
        <c:axId val="517621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BSCH</a:t>
                </a:r>
                <a:r>
                  <a:rPr lang="pt-BR" baseline="0"/>
                  <a:t> [mm]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17620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0" i="0" baseline="0">
                <a:effectLst/>
              </a:rPr>
              <a:t>Beam Stay Clear Vertical - High Beta</a:t>
            </a:r>
            <a:endParaRPr lang="pt-BR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'Beam Stay Clear'!$M$7</c:f>
              <c:strCache>
                <c:ptCount val="1"/>
                <c:pt idx="0">
                  <c:v>BSCV[mm]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1"/>
            <c:trendlineLbl>
              <c:layout>
                <c:manualLayout>
                  <c:x val="-0.21330572796156941"/>
                  <c:y val="-2.303258967629046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</c:trendlineLbl>
          </c:trendline>
          <c:xVal>
            <c:numRef>
              <c:f>'Beam Stay Clear'!$K$8:$K$43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9.5750000000000002E-2</c:v>
                </c:pt>
                <c:pt idx="4">
                  <c:v>0.1915</c:v>
                </c:pt>
                <c:pt idx="5">
                  <c:v>0.28725000000000001</c:v>
                </c:pt>
                <c:pt idx="6">
                  <c:v>0.38300000000000001</c:v>
                </c:pt>
                <c:pt idx="7">
                  <c:v>0.47875000000000001</c:v>
                </c:pt>
                <c:pt idx="8">
                  <c:v>0.57450000000000001</c:v>
                </c:pt>
                <c:pt idx="9">
                  <c:v>0.67025000000000001</c:v>
                </c:pt>
                <c:pt idx="10">
                  <c:v>0.76600000000000001</c:v>
                </c:pt>
                <c:pt idx="11">
                  <c:v>0.86175000000000002</c:v>
                </c:pt>
                <c:pt idx="12">
                  <c:v>0.95750000000000002</c:v>
                </c:pt>
                <c:pt idx="13">
                  <c:v>1.05325</c:v>
                </c:pt>
                <c:pt idx="14">
                  <c:v>1.149</c:v>
                </c:pt>
                <c:pt idx="15">
                  <c:v>1.24475</c:v>
                </c:pt>
                <c:pt idx="16">
                  <c:v>1.3405</c:v>
                </c:pt>
                <c:pt idx="17">
                  <c:v>1.43625</c:v>
                </c:pt>
                <c:pt idx="18">
                  <c:v>1.532</c:v>
                </c:pt>
                <c:pt idx="19">
                  <c:v>1.62775</c:v>
                </c:pt>
                <c:pt idx="20">
                  <c:v>1.7235</c:v>
                </c:pt>
                <c:pt idx="21">
                  <c:v>1.81925</c:v>
                </c:pt>
                <c:pt idx="22">
                  <c:v>1.915</c:v>
                </c:pt>
                <c:pt idx="23">
                  <c:v>2.0150000000000001</c:v>
                </c:pt>
                <c:pt idx="24">
                  <c:v>2.1150000000000002</c:v>
                </c:pt>
                <c:pt idx="25">
                  <c:v>2.2149999999999999</c:v>
                </c:pt>
                <c:pt idx="26">
                  <c:v>2.3149999999999999</c:v>
                </c:pt>
                <c:pt idx="27">
                  <c:v>2.375</c:v>
                </c:pt>
                <c:pt idx="28">
                  <c:v>2.375</c:v>
                </c:pt>
                <c:pt idx="29">
                  <c:v>2.4750000000000001</c:v>
                </c:pt>
                <c:pt idx="30">
                  <c:v>2.4750000000000001</c:v>
                </c:pt>
                <c:pt idx="31">
                  <c:v>2.5750000000000002</c:v>
                </c:pt>
                <c:pt idx="32">
                  <c:v>2.665</c:v>
                </c:pt>
                <c:pt idx="33">
                  <c:v>2.7549999999999999</c:v>
                </c:pt>
                <c:pt idx="34">
                  <c:v>2.8450000000000002</c:v>
                </c:pt>
                <c:pt idx="35">
                  <c:v>2.9350000000000001</c:v>
                </c:pt>
              </c:numCache>
            </c:numRef>
          </c:xVal>
          <c:yVal>
            <c:numRef>
              <c:f>'Beam Stay Clear'!$M$8:$M$43</c:f>
              <c:numCache>
                <c:formatCode>General</c:formatCode>
                <c:ptCount val="36"/>
                <c:pt idx="0">
                  <c:v>2.8438699999999999</c:v>
                </c:pt>
                <c:pt idx="1">
                  <c:v>2.8438699999999999</c:v>
                </c:pt>
                <c:pt idx="2">
                  <c:v>2.8438699999999999</c:v>
                </c:pt>
                <c:pt idx="3">
                  <c:v>2.8449</c:v>
                </c:pt>
                <c:pt idx="4">
                  <c:v>2.8479899999999998</c:v>
                </c:pt>
                <c:pt idx="5">
                  <c:v>2.8531399999999998</c:v>
                </c:pt>
                <c:pt idx="6">
                  <c:v>2.8603299999999998</c:v>
                </c:pt>
                <c:pt idx="7">
                  <c:v>2.8695499999999998</c:v>
                </c:pt>
                <c:pt idx="8">
                  <c:v>2.8807800000000001</c:v>
                </c:pt>
                <c:pt idx="9">
                  <c:v>2.8939900000000001</c:v>
                </c:pt>
                <c:pt idx="10">
                  <c:v>2.90916</c:v>
                </c:pt>
                <c:pt idx="11">
                  <c:v>2.92625</c:v>
                </c:pt>
                <c:pt idx="12">
                  <c:v>2.9452500000000001</c:v>
                </c:pt>
                <c:pt idx="13">
                  <c:v>2.9661</c:v>
                </c:pt>
                <c:pt idx="14">
                  <c:v>2.9887600000000001</c:v>
                </c:pt>
                <c:pt idx="15">
                  <c:v>3.0132099999999999</c:v>
                </c:pt>
                <c:pt idx="16">
                  <c:v>3.03939</c:v>
                </c:pt>
                <c:pt idx="17">
                  <c:v>3.0672600000000001</c:v>
                </c:pt>
                <c:pt idx="18">
                  <c:v>3.0967799999999999</c:v>
                </c:pt>
                <c:pt idx="19">
                  <c:v>3.1278899999999998</c:v>
                </c:pt>
                <c:pt idx="20">
                  <c:v>3.1605500000000002</c:v>
                </c:pt>
                <c:pt idx="21">
                  <c:v>3.1947199999999998</c:v>
                </c:pt>
                <c:pt idx="22">
                  <c:v>3.2303500000000001</c:v>
                </c:pt>
                <c:pt idx="23">
                  <c:v>3.26905</c:v>
                </c:pt>
                <c:pt idx="24">
                  <c:v>3.30924</c:v>
                </c:pt>
                <c:pt idx="25">
                  <c:v>3.3508599999999999</c:v>
                </c:pt>
                <c:pt idx="26">
                  <c:v>3.3938600000000001</c:v>
                </c:pt>
                <c:pt idx="27">
                  <c:v>3.4202900000000001</c:v>
                </c:pt>
                <c:pt idx="28">
                  <c:v>3.4202900000000001</c:v>
                </c:pt>
                <c:pt idx="29">
                  <c:v>3.4653800000000001</c:v>
                </c:pt>
                <c:pt idx="30">
                  <c:v>3.4653800000000001</c:v>
                </c:pt>
                <c:pt idx="31">
                  <c:v>3.51172</c:v>
                </c:pt>
                <c:pt idx="32">
                  <c:v>3.55444</c:v>
                </c:pt>
                <c:pt idx="33">
                  <c:v>3.5981000000000001</c:v>
                </c:pt>
                <c:pt idx="34">
                  <c:v>3.6426500000000002</c:v>
                </c:pt>
                <c:pt idx="35">
                  <c:v>3.6880799999999998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047-4591-BCC2-C7180B1683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7620848"/>
        <c:axId val="517621832"/>
      </c:scatterChart>
      <c:valAx>
        <c:axId val="517620848"/>
        <c:scaling>
          <c:orientation val="minMax"/>
          <c:max val="3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position [m]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17621832"/>
        <c:crosses val="autoZero"/>
        <c:crossBetween val="midCat"/>
      </c:valAx>
      <c:valAx>
        <c:axId val="517621832"/>
        <c:scaling>
          <c:orientation val="minMax"/>
          <c:max val="3.7"/>
          <c:min val="2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BSCV [mm]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17620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842105263157894"/>
          <c:y val="0.12124366189388204"/>
          <c:w val="0.8417397660818714"/>
          <c:h val="0.74638525756576346"/>
        </c:manualLayout>
      </c:layout>
      <c:scatterChart>
        <c:scatterStyle val="lineMarker"/>
        <c:varyColors val="0"/>
        <c:ser>
          <c:idx val="0"/>
          <c:order val="0"/>
          <c:tx>
            <c:v>1o harm</c:v>
          </c:tx>
          <c:xVal>
            <c:numRef>
              <c:f>'Electron beam and constants'!$K$5:$K$24</c:f>
              <c:numCache>
                <c:formatCode>0.0</c:formatCode>
                <c:ptCount val="20"/>
                <c:pt idx="0">
                  <c:v>88.789814220594806</c:v>
                </c:pt>
                <c:pt idx="1">
                  <c:v>97.805769762292854</c:v>
                </c:pt>
                <c:pt idx="2">
                  <c:v>108.23237470123031</c:v>
                </c:pt>
                <c:pt idx="3">
                  <c:v>120.37091067107384</c:v>
                </c:pt>
                <c:pt idx="4">
                  <c:v>134.60450607154465</c:v>
                </c:pt>
                <c:pt idx="5">
                  <c:v>151.42498527598556</c:v>
                </c:pt>
                <c:pt idx="6">
                  <c:v>171.46983473747989</c:v>
                </c:pt>
                <c:pt idx="7">
                  <c:v>195.57336995695437</c:v>
                </c:pt>
                <c:pt idx="8">
                  <c:v>224.83768508563927</c:v>
                </c:pt>
                <c:pt idx="9">
                  <c:v>260.73057580402542</c:v>
                </c:pt>
                <c:pt idx="10">
                  <c:v>305.21844026034</c:v>
                </c:pt>
                <c:pt idx="11">
                  <c:v>360.939340112379</c:v>
                </c:pt>
                <c:pt idx="12">
                  <c:v>431.40700217806557</c:v>
                </c:pt>
                <c:pt idx="13">
                  <c:v>521.18998820593822</c:v>
                </c:pt>
                <c:pt idx="14">
                  <c:v>635.88274409975054</c:v>
                </c:pt>
                <c:pt idx="15">
                  <c:v>781.37866000640838</c:v>
                </c:pt>
                <c:pt idx="16">
                  <c:v>961.35090126832881</c:v>
                </c:pt>
                <c:pt idx="17">
                  <c:v>1171.1549517944413</c:v>
                </c:pt>
                <c:pt idx="18">
                  <c:v>1387.4350491735283</c:v>
                </c:pt>
                <c:pt idx="19">
                  <c:v>1560.3244466416766</c:v>
                </c:pt>
              </c:numCache>
            </c:numRef>
          </c:xVal>
          <c:yVal>
            <c:numRef>
              <c:f>'Electron beam and constants'!$L$5:$L$24</c:f>
              <c:numCache>
                <c:formatCode>0.000000E+00</c:formatCode>
                <c:ptCount val="20"/>
                <c:pt idx="0">
                  <c:v>1016982932332184.8</c:v>
                </c:pt>
                <c:pt idx="1">
                  <c:v>1016421464980249.9</c:v>
                </c:pt>
                <c:pt idx="2">
                  <c:v>1015702856709704.5</c:v>
                </c:pt>
                <c:pt idx="3">
                  <c:v>1014772197475201.6</c:v>
                </c:pt>
                <c:pt idx="4">
                  <c:v>1013551311377319.1</c:v>
                </c:pt>
                <c:pt idx="5">
                  <c:v>1011927075348234.6</c:v>
                </c:pt>
                <c:pt idx="6">
                  <c:v>1009732928939531.9</c:v>
                </c:pt>
                <c:pt idx="7">
                  <c:v>1006719065215568.6</c:v>
                </c:pt>
                <c:pt idx="8">
                  <c:v>1002503490627353.1</c:v>
                </c:pt>
                <c:pt idx="9">
                  <c:v>996490287407566.63</c:v>
                </c:pt>
                <c:pt idx="10">
                  <c:v>987731136189025.25</c:v>
                </c:pt>
                <c:pt idx="11">
                  <c:v>974688808814473.25</c:v>
                </c:pt>
                <c:pt idx="12">
                  <c:v>954835137202566.75</c:v>
                </c:pt>
                <c:pt idx="13">
                  <c:v>923989029728975</c:v>
                </c:pt>
                <c:pt idx="14">
                  <c:v>875326277647764.25</c:v>
                </c:pt>
                <c:pt idx="15">
                  <c:v>798285671891032</c:v>
                </c:pt>
                <c:pt idx="16">
                  <c:v>678776701581203.75</c:v>
                </c:pt>
                <c:pt idx="17">
                  <c:v>505149237949744.31</c:v>
                </c:pt>
                <c:pt idx="18">
                  <c:v>287443684137014.63</c:v>
                </c:pt>
                <c:pt idx="19">
                  <c:v>85552059974130.609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F87-4A27-A1D1-71F682AC8D6E}"/>
            </c:ext>
          </c:extLst>
        </c:ser>
        <c:ser>
          <c:idx val="1"/>
          <c:order val="1"/>
          <c:tx>
            <c:v>3o harm</c:v>
          </c:tx>
          <c:xVal>
            <c:numRef>
              <c:f>'Electron beam and constants'!$N$5:$N$24</c:f>
              <c:numCache>
                <c:formatCode>0.0</c:formatCode>
                <c:ptCount val="20"/>
                <c:pt idx="0">
                  <c:v>266.36944266178443</c:v>
                </c:pt>
                <c:pt idx="1">
                  <c:v>293.41730928687861</c:v>
                </c:pt>
                <c:pt idx="2">
                  <c:v>324.69712410369095</c:v>
                </c:pt>
                <c:pt idx="3">
                  <c:v>361.11273201322155</c:v>
                </c:pt>
                <c:pt idx="4">
                  <c:v>403.81351821463397</c:v>
                </c:pt>
                <c:pt idx="5">
                  <c:v>454.27495582795666</c:v>
                </c:pt>
                <c:pt idx="6">
                  <c:v>514.40950421243963</c:v>
                </c:pt>
                <c:pt idx="7">
                  <c:v>586.7201098708631</c:v>
                </c:pt>
                <c:pt idx="8">
                  <c:v>674.51305525691794</c:v>
                </c:pt>
                <c:pt idx="9">
                  <c:v>782.19172741207626</c:v>
                </c:pt>
                <c:pt idx="10">
                  <c:v>915.65532078102001</c:v>
                </c:pt>
                <c:pt idx="11">
                  <c:v>1082.8180203371371</c:v>
                </c:pt>
                <c:pt idx="12">
                  <c:v>1294.2210065341967</c:v>
                </c:pt>
                <c:pt idx="13">
                  <c:v>1563.5699646178148</c:v>
                </c:pt>
                <c:pt idx="14">
                  <c:v>1907.6482322992517</c:v>
                </c:pt>
                <c:pt idx="15">
                  <c:v>2344.1359800192249</c:v>
                </c:pt>
                <c:pt idx="16">
                  <c:v>2884.0527038049868</c:v>
                </c:pt>
                <c:pt idx="17">
                  <c:v>3513.464855383324</c:v>
                </c:pt>
                <c:pt idx="18">
                  <c:v>4162.3051475205857</c:v>
                </c:pt>
                <c:pt idx="19">
                  <c:v>4680.9733399250299</c:v>
                </c:pt>
              </c:numCache>
            </c:numRef>
          </c:xVal>
          <c:yVal>
            <c:numRef>
              <c:f>'Electron beam and constants'!$O$5:$O$24</c:f>
              <c:numCache>
                <c:formatCode>0.000000E+00</c:formatCode>
                <c:ptCount val="20"/>
                <c:pt idx="0">
                  <c:v>662893943541591.5</c:v>
                </c:pt>
                <c:pt idx="1">
                  <c:v>661379921938685</c:v>
                </c:pt>
                <c:pt idx="2">
                  <c:v>659452648863151.5</c:v>
                </c:pt>
                <c:pt idx="3">
                  <c:v>656972818160159.88</c:v>
                </c:pt>
                <c:pt idx="4">
                  <c:v>653745101297383</c:v>
                </c:pt>
                <c:pt idx="5">
                  <c:v>649492130235328.88</c:v>
                </c:pt>
                <c:pt idx="6">
                  <c:v>643815062995310.88</c:v>
                </c:pt>
                <c:pt idx="7">
                  <c:v>636133532934725.38</c:v>
                </c:pt>
                <c:pt idx="8">
                  <c:v>625594400234861.38</c:v>
                </c:pt>
                <c:pt idx="9">
                  <c:v>610935170888191.63</c:v>
                </c:pt>
                <c:pt idx="10">
                  <c:v>590287825093394.5</c:v>
                </c:pt>
                <c:pt idx="11">
                  <c:v>560924591554717.75</c:v>
                </c:pt>
                <c:pt idx="12">
                  <c:v>519015767369222.06</c:v>
                </c:pt>
                <c:pt idx="13">
                  <c:v>459683665926572.5</c:v>
                </c:pt>
                <c:pt idx="14">
                  <c:v>378165446489921.13</c:v>
                </c:pt>
                <c:pt idx="15">
                  <c:v>273755360082729.38</c:v>
                </c:pt>
                <c:pt idx="16">
                  <c:v>157848410864346.47</c:v>
                </c:pt>
                <c:pt idx="17">
                  <c:v>59950457513195.047</c:v>
                </c:pt>
                <c:pt idx="18">
                  <c:v>10086245405965.898</c:v>
                </c:pt>
                <c:pt idx="19">
                  <c:v>246288665007.89658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F87-4A27-A1D1-71F682AC8D6E}"/>
            </c:ext>
          </c:extLst>
        </c:ser>
        <c:ser>
          <c:idx val="2"/>
          <c:order val="2"/>
          <c:tx>
            <c:v>5o harm</c:v>
          </c:tx>
          <c:xVal>
            <c:numRef>
              <c:f>'Electron beam and constants'!$Q$5:$Q$24</c:f>
              <c:numCache>
                <c:formatCode>0.0</c:formatCode>
                <c:ptCount val="20"/>
                <c:pt idx="0">
                  <c:v>443.94907110297396</c:v>
                </c:pt>
                <c:pt idx="1">
                  <c:v>489.02884881146429</c:v>
                </c:pt>
                <c:pt idx="2">
                  <c:v>541.16187350615155</c:v>
                </c:pt>
                <c:pt idx="3">
                  <c:v>601.85455335536915</c:v>
                </c:pt>
                <c:pt idx="4">
                  <c:v>673.02253035772333</c:v>
                </c:pt>
                <c:pt idx="5">
                  <c:v>757.12492637992784</c:v>
                </c:pt>
                <c:pt idx="6">
                  <c:v>857.34917368739934</c:v>
                </c:pt>
                <c:pt idx="7">
                  <c:v>977.86684978477172</c:v>
                </c:pt>
                <c:pt idx="8">
                  <c:v>1124.1884254281963</c:v>
                </c:pt>
                <c:pt idx="9">
                  <c:v>1303.6528790201271</c:v>
                </c:pt>
                <c:pt idx="10">
                  <c:v>1526.0922013016998</c:v>
                </c:pt>
                <c:pt idx="11">
                  <c:v>1804.6967005618949</c:v>
                </c:pt>
                <c:pt idx="12">
                  <c:v>2157.0350108903276</c:v>
                </c:pt>
                <c:pt idx="13">
                  <c:v>2605.9499410296912</c:v>
                </c:pt>
                <c:pt idx="14">
                  <c:v>3179.4137204987524</c:v>
                </c:pt>
                <c:pt idx="15">
                  <c:v>3906.8933000320408</c:v>
                </c:pt>
                <c:pt idx="16">
                  <c:v>4806.7545063416437</c:v>
                </c:pt>
                <c:pt idx="17">
                  <c:v>5855.7747589722048</c:v>
                </c:pt>
                <c:pt idx="18">
                  <c:v>6937.1752458676419</c:v>
                </c:pt>
                <c:pt idx="19">
                  <c:v>7801.6222332083826</c:v>
                </c:pt>
              </c:numCache>
            </c:numRef>
          </c:xVal>
          <c:yVal>
            <c:numRef>
              <c:f>'Electron beam and constants'!$R$5:$R$24</c:f>
              <c:numCache>
                <c:formatCode>0.000000E+00</c:formatCode>
                <c:ptCount val="20"/>
                <c:pt idx="0">
                  <c:v>542281415353117.5</c:v>
                </c:pt>
                <c:pt idx="1">
                  <c:v>539887188746768.5</c:v>
                </c:pt>
                <c:pt idx="2">
                  <c:v>536854060304518.44</c:v>
                </c:pt>
                <c:pt idx="3">
                  <c:v>532973881766715.75</c:v>
                </c:pt>
                <c:pt idx="4">
                  <c:v>527959117857700</c:v>
                </c:pt>
                <c:pt idx="5">
                  <c:v>521409056639937.13</c:v>
                </c:pt>
                <c:pt idx="6">
                  <c:v>512761186750040.25</c:v>
                </c:pt>
                <c:pt idx="7">
                  <c:v>501222375512578.94</c:v>
                </c:pt>
                <c:pt idx="8">
                  <c:v>485675157346896.88</c:v>
                </c:pt>
                <c:pt idx="9">
                  <c:v>464560905545072.88</c:v>
                </c:pt>
                <c:pt idx="10">
                  <c:v>435764788999183.13</c:v>
                </c:pt>
                <c:pt idx="11">
                  <c:v>396593197060107.13</c:v>
                </c:pt>
                <c:pt idx="12">
                  <c:v>344087299329326.75</c:v>
                </c:pt>
                <c:pt idx="13">
                  <c:v>276225718133561.06</c:v>
                </c:pt>
                <c:pt idx="14">
                  <c:v>194827745069022.59</c:v>
                </c:pt>
                <c:pt idx="15">
                  <c:v>110130223149235.33</c:v>
                </c:pt>
                <c:pt idx="16">
                  <c:v>42206543635286.734</c:v>
                </c:pt>
                <c:pt idx="17">
                  <c:v>7996385220470.7227</c:v>
                </c:pt>
                <c:pt idx="18">
                  <c:v>388805539850.44574</c:v>
                </c:pt>
                <c:pt idx="19">
                  <c:v>765122353.45450115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F87-4A27-A1D1-71F682AC8D6E}"/>
            </c:ext>
          </c:extLst>
        </c:ser>
        <c:ser>
          <c:idx val="3"/>
          <c:order val="3"/>
          <c:tx>
            <c:v>7o harm</c:v>
          </c:tx>
          <c:xVal>
            <c:numRef>
              <c:f>'Electron beam and constants'!$T$5:$T$24</c:f>
              <c:numCache>
                <c:formatCode>0.0</c:formatCode>
                <c:ptCount val="20"/>
                <c:pt idx="0">
                  <c:v>621.52869954416371</c:v>
                </c:pt>
                <c:pt idx="1">
                  <c:v>684.64038833605002</c:v>
                </c:pt>
                <c:pt idx="2">
                  <c:v>757.62662290861226</c:v>
                </c:pt>
                <c:pt idx="3">
                  <c:v>842.59637469751704</c:v>
                </c:pt>
                <c:pt idx="4">
                  <c:v>942.23154250081257</c:v>
                </c:pt>
                <c:pt idx="5">
                  <c:v>1059.9748969318989</c:v>
                </c:pt>
                <c:pt idx="6">
                  <c:v>1200.2888431623594</c:v>
                </c:pt>
                <c:pt idx="7">
                  <c:v>1369.0135896986806</c:v>
                </c:pt>
                <c:pt idx="8">
                  <c:v>1573.8637955994752</c:v>
                </c:pt>
                <c:pt idx="9">
                  <c:v>1825.1140306281782</c:v>
                </c:pt>
                <c:pt idx="10">
                  <c:v>2136.5290818223802</c:v>
                </c:pt>
                <c:pt idx="11">
                  <c:v>2526.5753807866536</c:v>
                </c:pt>
                <c:pt idx="12">
                  <c:v>3019.8490152464592</c:v>
                </c:pt>
                <c:pt idx="13">
                  <c:v>3648.3299174415679</c:v>
                </c:pt>
                <c:pt idx="14">
                  <c:v>4451.1792086982541</c:v>
                </c:pt>
                <c:pt idx="15">
                  <c:v>5469.6506200448584</c:v>
                </c:pt>
                <c:pt idx="16">
                  <c:v>6729.4563088783025</c:v>
                </c:pt>
                <c:pt idx="17">
                  <c:v>8198.0846625610884</c:v>
                </c:pt>
                <c:pt idx="18">
                  <c:v>9712.0453442146991</c:v>
                </c:pt>
                <c:pt idx="19">
                  <c:v>10922.271126491738</c:v>
                </c:pt>
              </c:numCache>
            </c:numRef>
          </c:xVal>
          <c:yVal>
            <c:numRef>
              <c:f>'Electron beam and constants'!$U$5:$U$24</c:f>
              <c:numCache>
                <c:formatCode>0.000000E+00</c:formatCode>
                <c:ptCount val="20"/>
                <c:pt idx="0">
                  <c:v>474043268651490.88</c:v>
                </c:pt>
                <c:pt idx="1">
                  <c:v>470827338423204.5</c:v>
                </c:pt>
                <c:pt idx="2">
                  <c:v>466771921295484.75</c:v>
                </c:pt>
                <c:pt idx="3">
                  <c:v>461612811232585</c:v>
                </c:pt>
                <c:pt idx="4">
                  <c:v>454990608339757.56</c:v>
                </c:pt>
                <c:pt idx="5">
                  <c:v>446414192916709.25</c:v>
                </c:pt>
                <c:pt idx="6">
                  <c:v>435211594682718.31</c:v>
                </c:pt>
                <c:pt idx="7">
                  <c:v>420467399908228.5</c:v>
                </c:pt>
                <c:pt idx="8">
                  <c:v>400952216461604.06</c:v>
                </c:pt>
                <c:pt idx="9">
                  <c:v>375068215503261.94</c:v>
                </c:pt>
                <c:pt idx="10">
                  <c:v>340875697163335.94</c:v>
                </c:pt>
                <c:pt idx="11">
                  <c:v>296371057484545.69</c:v>
                </c:pt>
                <c:pt idx="12">
                  <c:v>240329115789670</c:v>
                </c:pt>
                <c:pt idx="13">
                  <c:v>174168661399819.59</c:v>
                </c:pt>
                <c:pt idx="14">
                  <c:v>104806696536186.78</c:v>
                </c:pt>
                <c:pt idx="15">
                  <c:v>45995492282104.648</c:v>
                </c:pt>
                <c:pt idx="16">
                  <c:v>11641059872969.123</c:v>
                </c:pt>
                <c:pt idx="17">
                  <c:v>1092894945171.1027</c:v>
                </c:pt>
                <c:pt idx="18">
                  <c:v>15263247878.87216</c:v>
                </c:pt>
                <c:pt idx="19">
                  <c:v>2409575.9369407119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F87-4A27-A1D1-71F682AC8D6E}"/>
            </c:ext>
          </c:extLst>
        </c:ser>
        <c:ser>
          <c:idx val="4"/>
          <c:order val="4"/>
          <c:tx>
            <c:v>9o harm</c:v>
          </c:tx>
          <c:xVal>
            <c:numRef>
              <c:f>'Electron beam and constants'!$W$5:$W$24</c:f>
              <c:numCache>
                <c:formatCode>0.0</c:formatCode>
                <c:ptCount val="20"/>
                <c:pt idx="0">
                  <c:v>799.10832798535341</c:v>
                </c:pt>
                <c:pt idx="1">
                  <c:v>880.25192786063587</c:v>
                </c:pt>
                <c:pt idx="2">
                  <c:v>974.09137231107297</c:v>
                </c:pt>
                <c:pt idx="3">
                  <c:v>1083.3381960396648</c:v>
                </c:pt>
                <c:pt idx="4">
                  <c:v>1211.440554643902</c:v>
                </c:pt>
                <c:pt idx="5">
                  <c:v>1362.8248674838703</c:v>
                </c:pt>
                <c:pt idx="6">
                  <c:v>1543.2285126373192</c:v>
                </c:pt>
                <c:pt idx="7">
                  <c:v>1760.1603296125895</c:v>
                </c:pt>
                <c:pt idx="8">
                  <c:v>2023.5391657707539</c:v>
                </c:pt>
                <c:pt idx="9">
                  <c:v>2346.575182236229</c:v>
                </c:pt>
                <c:pt idx="10">
                  <c:v>2746.9659623430603</c:v>
                </c:pt>
                <c:pt idx="11">
                  <c:v>3248.4540610114123</c:v>
                </c:pt>
                <c:pt idx="12">
                  <c:v>3882.6630196025903</c:v>
                </c:pt>
                <c:pt idx="13">
                  <c:v>4690.7098938534455</c:v>
                </c:pt>
                <c:pt idx="14">
                  <c:v>5722.9446968977554</c:v>
                </c:pt>
                <c:pt idx="15">
                  <c:v>7032.4079400576757</c:v>
                </c:pt>
                <c:pt idx="16">
                  <c:v>8652.1581114149612</c:v>
                </c:pt>
                <c:pt idx="17">
                  <c:v>10540.394566149973</c:v>
                </c:pt>
                <c:pt idx="18">
                  <c:v>12486.915442561756</c:v>
                </c:pt>
                <c:pt idx="19">
                  <c:v>14042.920019775092</c:v>
                </c:pt>
              </c:numCache>
            </c:numRef>
          </c:xVal>
          <c:yVal>
            <c:numRef>
              <c:f>'Electron beam and constants'!$X$5:$X$24</c:f>
              <c:numCache>
                <c:formatCode>0.000000E+00</c:formatCode>
                <c:ptCount val="20"/>
                <c:pt idx="0">
                  <c:v>427612123035382.94</c:v>
                </c:pt>
                <c:pt idx="1">
                  <c:v>423626879476261.19</c:v>
                </c:pt>
                <c:pt idx="2">
                  <c:v>418623872323270.06</c:v>
                </c:pt>
                <c:pt idx="3">
                  <c:v>412293997763015.75</c:v>
                </c:pt>
                <c:pt idx="4">
                  <c:v>404223503967785.06</c:v>
                </c:pt>
                <c:pt idx="5">
                  <c:v>393858683436130.75</c:v>
                </c:pt>
                <c:pt idx="6">
                  <c:v>380462704206267.94</c:v>
                </c:pt>
                <c:pt idx="7">
                  <c:v>363069604223119.19</c:v>
                </c:pt>
                <c:pt idx="8">
                  <c:v>340452470602614.75</c:v>
                </c:pt>
                <c:pt idx="9">
                  <c:v>311150704671623</c:v>
                </c:pt>
                <c:pt idx="10">
                  <c:v>273656761381141.09</c:v>
                </c:pt>
                <c:pt idx="11">
                  <c:v>226956176415192.97</c:v>
                </c:pt>
                <c:pt idx="12">
                  <c:v>171698061190831.81</c:v>
                </c:pt>
                <c:pt idx="13">
                  <c:v>112085161310679.28</c:v>
                </c:pt>
                <c:pt idx="14">
                  <c:v>57398346190543.047</c:v>
                </c:pt>
                <c:pt idx="15">
                  <c:v>19501729194915.57</c:v>
                </c:pt>
                <c:pt idx="16">
                  <c:v>3249883469191.4019</c:v>
                </c:pt>
                <c:pt idx="17">
                  <c:v>150753086413.37622</c:v>
                </c:pt>
                <c:pt idx="18">
                  <c:v>603187093.43156946</c:v>
                </c:pt>
                <c:pt idx="19">
                  <c:v>7624.9287865608148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F87-4A27-A1D1-71F682AC8D6E}"/>
            </c:ext>
          </c:extLst>
        </c:ser>
        <c:ser>
          <c:idx val="5"/>
          <c:order val="5"/>
          <c:tx>
            <c:v>11° harm</c:v>
          </c:tx>
          <c:xVal>
            <c:numRef>
              <c:f>'Electron beam and constants'!$Z$5:$Z$24</c:f>
              <c:numCache>
                <c:formatCode>0.0</c:formatCode>
                <c:ptCount val="20"/>
                <c:pt idx="0">
                  <c:v>976.68795642654288</c:v>
                </c:pt>
                <c:pt idx="1">
                  <c:v>1075.8634673852216</c:v>
                </c:pt>
                <c:pt idx="2">
                  <c:v>1190.5561217135335</c:v>
                </c:pt>
                <c:pt idx="3">
                  <c:v>1324.0800173818122</c:v>
                </c:pt>
                <c:pt idx="4">
                  <c:v>1480.6495667869913</c:v>
                </c:pt>
                <c:pt idx="5">
                  <c:v>1665.674838035841</c:v>
                </c:pt>
                <c:pt idx="6">
                  <c:v>1886.1681821122786</c:v>
                </c:pt>
                <c:pt idx="7">
                  <c:v>2151.3070695264978</c:v>
                </c:pt>
                <c:pt idx="8">
                  <c:v>2473.2145359420319</c:v>
                </c:pt>
                <c:pt idx="9">
                  <c:v>2868.0363338442794</c:v>
                </c:pt>
                <c:pt idx="10">
                  <c:v>3357.4028428637398</c:v>
                </c:pt>
                <c:pt idx="11">
                  <c:v>3970.3327412361696</c:v>
                </c:pt>
                <c:pt idx="12">
                  <c:v>4745.4770239587206</c:v>
                </c:pt>
                <c:pt idx="13">
                  <c:v>5733.0898702653203</c:v>
                </c:pt>
                <c:pt idx="14">
                  <c:v>6994.7101850972558</c:v>
                </c:pt>
                <c:pt idx="15">
                  <c:v>8595.1652600704911</c:v>
                </c:pt>
                <c:pt idx="16">
                  <c:v>10574.859913951617</c:v>
                </c:pt>
                <c:pt idx="17">
                  <c:v>12882.704469738852</c:v>
                </c:pt>
                <c:pt idx="18">
                  <c:v>15261.785540908813</c:v>
                </c:pt>
                <c:pt idx="19">
                  <c:v>17163.568913058443</c:v>
                </c:pt>
              </c:numCache>
            </c:numRef>
          </c:xVal>
          <c:yVal>
            <c:numRef>
              <c:f>'Electron beam and constants'!$AA$5:$AA$24</c:f>
              <c:numCache>
                <c:formatCode>0.000000E+00</c:formatCode>
                <c:ptCount val="20"/>
                <c:pt idx="0">
                  <c:v>392806167595845</c:v>
                </c:pt>
                <c:pt idx="1">
                  <c:v>388099822809209.44</c:v>
                </c:pt>
                <c:pt idx="2">
                  <c:v>382217716272694.63</c:v>
                </c:pt>
                <c:pt idx="3">
                  <c:v>374815736244943.94</c:v>
                </c:pt>
                <c:pt idx="4">
                  <c:v>365441045021690.25</c:v>
                </c:pt>
                <c:pt idx="5">
                  <c:v>353501073841420.81</c:v>
                </c:pt>
                <c:pt idx="6">
                  <c:v>338230965097959.75</c:v>
                </c:pt>
                <c:pt idx="7">
                  <c:v>318670902960391.31</c:v>
                </c:pt>
                <c:pt idx="8">
                  <c:v>293681145649704.44</c:v>
                </c:pt>
                <c:pt idx="9">
                  <c:v>262056184852021.16</c:v>
                </c:pt>
                <c:pt idx="10">
                  <c:v>222855034879438.19</c:v>
                </c:pt>
                <c:pt idx="11">
                  <c:v>176126483720763.22</c:v>
                </c:pt>
                <c:pt idx="12">
                  <c:v>124163019841167.47</c:v>
                </c:pt>
                <c:pt idx="13">
                  <c:v>72913280704006.406</c:v>
                </c:pt>
                <c:pt idx="14">
                  <c:v>31727364394053.504</c:v>
                </c:pt>
                <c:pt idx="15">
                  <c:v>8332096445357.7324</c:v>
                </c:pt>
                <c:pt idx="16">
                  <c:v>912764079846.23364</c:v>
                </c:pt>
                <c:pt idx="17">
                  <c:v>20888285696.503025</c:v>
                </c:pt>
                <c:pt idx="18">
                  <c:v>23913050.287944734</c:v>
                </c:pt>
                <c:pt idx="19">
                  <c:v>24.182610890257806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F87-4A27-A1D1-71F682AC8D6E}"/>
            </c:ext>
          </c:extLst>
        </c:ser>
        <c:ser>
          <c:idx val="6"/>
          <c:order val="6"/>
          <c:tx>
            <c:v>13° harm</c:v>
          </c:tx>
          <c:xVal>
            <c:numRef>
              <c:f>'Electron beam and constants'!$AC$5:$AC$24</c:f>
              <c:numCache>
                <c:formatCode>0.0</c:formatCode>
                <c:ptCount val="20"/>
                <c:pt idx="0">
                  <c:v>1154.2675848677325</c:v>
                </c:pt>
                <c:pt idx="1">
                  <c:v>1271.4750069098072</c:v>
                </c:pt>
                <c:pt idx="2">
                  <c:v>1407.0208711159939</c:v>
                </c:pt>
                <c:pt idx="3">
                  <c:v>1564.8218387239599</c:v>
                </c:pt>
                <c:pt idx="4">
                  <c:v>1749.8585789300803</c:v>
                </c:pt>
                <c:pt idx="5">
                  <c:v>1968.5248085878122</c:v>
                </c:pt>
                <c:pt idx="6">
                  <c:v>2229.1078515872382</c:v>
                </c:pt>
                <c:pt idx="7">
                  <c:v>2542.4538094404065</c:v>
                </c:pt>
                <c:pt idx="8">
                  <c:v>2922.8899061133106</c:v>
                </c:pt>
                <c:pt idx="9">
                  <c:v>3389.4974854523298</c:v>
                </c:pt>
                <c:pt idx="10">
                  <c:v>3967.8397233844198</c:v>
                </c:pt>
                <c:pt idx="11">
                  <c:v>4692.2114214609273</c:v>
                </c:pt>
                <c:pt idx="12">
                  <c:v>5608.2910283148512</c:v>
                </c:pt>
                <c:pt idx="13">
                  <c:v>6775.469846677197</c:v>
                </c:pt>
                <c:pt idx="14">
                  <c:v>8266.4756732967562</c:v>
                </c:pt>
                <c:pt idx="15">
                  <c:v>10157.922580083308</c:v>
                </c:pt>
                <c:pt idx="16">
                  <c:v>12497.561716488275</c:v>
                </c:pt>
                <c:pt idx="17">
                  <c:v>15225.014373327736</c:v>
                </c:pt>
                <c:pt idx="18">
                  <c:v>18036.65563925587</c:v>
                </c:pt>
                <c:pt idx="19">
                  <c:v>20284.217806341796</c:v>
                </c:pt>
              </c:numCache>
            </c:numRef>
          </c:xVal>
          <c:yVal>
            <c:numRef>
              <c:f>'Electron beam and constants'!$AD$5:$AD$24</c:f>
              <c:numCache>
                <c:formatCode>0.000000E+00</c:formatCode>
                <c:ptCount val="20"/>
                <c:pt idx="0">
                  <c:v>365113622235144.06</c:v>
                </c:pt>
                <c:pt idx="1">
                  <c:v>359731123680898.56</c:v>
                </c:pt>
                <c:pt idx="2">
                  <c:v>353033476498889.81</c:v>
                </c:pt>
                <c:pt idx="3">
                  <c:v>344650374068312.69</c:v>
                </c:pt>
                <c:pt idx="4">
                  <c:v>334103226751412.94</c:v>
                </c:pt>
                <c:pt idx="5">
                  <c:v>320780848792320.88</c:v>
                </c:pt>
                <c:pt idx="6">
                  <c:v>303920731513203.31</c:v>
                </c:pt>
                <c:pt idx="7">
                  <c:v>282613482435393.56</c:v>
                </c:pt>
                <c:pt idx="8">
                  <c:v>255867219632704.88</c:v>
                </c:pt>
                <c:pt idx="9">
                  <c:v>222803229969416.69</c:v>
                </c:pt>
                <c:pt idx="10">
                  <c:v>183098482183829.47</c:v>
                </c:pt>
                <c:pt idx="11">
                  <c:v>137800268465234.41</c:v>
                </c:pt>
                <c:pt idx="12">
                  <c:v>90450597329060.703</c:v>
                </c:pt>
                <c:pt idx="13">
                  <c:v>47737898737560.219</c:v>
                </c:pt>
                <c:pt idx="14">
                  <c:v>17633524036262.242</c:v>
                </c:pt>
                <c:pt idx="15">
                  <c:v>3575715128578.7046</c:v>
                </c:pt>
                <c:pt idx="16">
                  <c:v>257242652247.93546</c:v>
                </c:pt>
                <c:pt idx="17">
                  <c:v>2901590050.2329326</c:v>
                </c:pt>
                <c:pt idx="18">
                  <c:v>949690.77595332265</c:v>
                </c:pt>
                <c:pt idx="19">
                  <c:v>7.678950611768029E-2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F87-4A27-A1D1-71F682AC8D6E}"/>
            </c:ext>
          </c:extLst>
        </c:ser>
        <c:ser>
          <c:idx val="7"/>
          <c:order val="7"/>
          <c:tx>
            <c:v>15° harm</c:v>
          </c:tx>
          <c:xVal>
            <c:numRef>
              <c:f>'Electron beam and constants'!$AF$5:$AF$24</c:f>
              <c:numCache>
                <c:formatCode>0.0</c:formatCode>
                <c:ptCount val="20"/>
                <c:pt idx="0">
                  <c:v>1331.8472133089222</c:v>
                </c:pt>
                <c:pt idx="1">
                  <c:v>1467.0865464343929</c:v>
                </c:pt>
                <c:pt idx="2">
                  <c:v>1623.4856205184549</c:v>
                </c:pt>
                <c:pt idx="3">
                  <c:v>1805.5636600661076</c:v>
                </c:pt>
                <c:pt idx="4">
                  <c:v>2019.06759107317</c:v>
                </c:pt>
                <c:pt idx="5">
                  <c:v>2271.3747791397836</c:v>
                </c:pt>
                <c:pt idx="6">
                  <c:v>2572.0475210621985</c:v>
                </c:pt>
                <c:pt idx="7">
                  <c:v>2933.6005493543157</c:v>
                </c:pt>
                <c:pt idx="8">
                  <c:v>3372.5652762845898</c:v>
                </c:pt>
                <c:pt idx="9">
                  <c:v>3910.9586370603815</c:v>
                </c:pt>
                <c:pt idx="10">
                  <c:v>4578.2766039051003</c:v>
                </c:pt>
                <c:pt idx="11">
                  <c:v>5414.090101685686</c:v>
                </c:pt>
                <c:pt idx="12">
                  <c:v>6471.1050326709837</c:v>
                </c:pt>
                <c:pt idx="13">
                  <c:v>7817.8498230890737</c:v>
                </c:pt>
                <c:pt idx="14">
                  <c:v>9538.2411614962584</c:v>
                </c:pt>
                <c:pt idx="15">
                  <c:v>11720.679900096124</c:v>
                </c:pt>
                <c:pt idx="16">
                  <c:v>14420.263519024935</c:v>
                </c:pt>
                <c:pt idx="17">
                  <c:v>17567.324276916617</c:v>
                </c:pt>
                <c:pt idx="18">
                  <c:v>20811.525737602926</c:v>
                </c:pt>
                <c:pt idx="19">
                  <c:v>23404.866699625152</c:v>
                </c:pt>
              </c:numCache>
            </c:numRef>
          </c:xVal>
          <c:yVal>
            <c:numRef>
              <c:f>'Electron beam and constants'!$AG$5:$AG$24</c:f>
              <c:numCache>
                <c:formatCode>0.000000E+00</c:formatCode>
                <c:ptCount val="20"/>
                <c:pt idx="0">
                  <c:v>342178489856452.38</c:v>
                </c:pt>
                <c:pt idx="1">
                  <c:v>336162033764539.5</c:v>
                </c:pt>
                <c:pt idx="2">
                  <c:v>328708209105871.31</c:v>
                </c:pt>
                <c:pt idx="3">
                  <c:v>319428388790006.19</c:v>
                </c:pt>
                <c:pt idx="4">
                  <c:v>307829945347495.56</c:v>
                </c:pt>
                <c:pt idx="5">
                  <c:v>293300216945922.38</c:v>
                </c:pt>
                <c:pt idx="6">
                  <c:v>275103812010559.88</c:v>
                </c:pt>
                <c:pt idx="7">
                  <c:v>252415668451068.94</c:v>
                </c:pt>
                <c:pt idx="8">
                  <c:v>224433200679655.94</c:v>
                </c:pt>
                <c:pt idx="9">
                  <c:v>190641422572068.72</c:v>
                </c:pt>
                <c:pt idx="10">
                  <c:v>151328853952905.13</c:v>
                </c:pt>
                <c:pt idx="11">
                  <c:v>108399111493047.14</c:v>
                </c:pt>
                <c:pt idx="12">
                  <c:v>66210478519868.063</c:v>
                </c:pt>
                <c:pt idx="13">
                  <c:v>31386037338472.371</c:v>
                </c:pt>
                <c:pt idx="14">
                  <c:v>9834777418198.9453</c:v>
                </c:pt>
                <c:pt idx="15">
                  <c:v>1538836293580.3372</c:v>
                </c:pt>
                <c:pt idx="16">
                  <c:v>72654451075.732071</c:v>
                </c:pt>
                <c:pt idx="17">
                  <c:v>403690061.4206906</c:v>
                </c:pt>
                <c:pt idx="18">
                  <c:v>37757.006927774702</c:v>
                </c:pt>
                <c:pt idx="19">
                  <c:v>2.4401833188510217E-4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9F87-4A27-A1D1-71F682AC8D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8849312"/>
        <c:axId val="1"/>
      </c:scatterChart>
      <c:valAx>
        <c:axId val="578849312"/>
        <c:scaling>
          <c:orientation val="minMax"/>
        </c:scaling>
        <c:delete val="0"/>
        <c:axPos val="t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pt-BR"/>
                  <a:t>E [eV]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1"/>
        <c:crosses val="max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pt-BR"/>
                  <a:t>Photon Flux [photons/ s /0.1% BW]</a:t>
                </a:r>
              </a:p>
            </c:rich>
          </c:tx>
          <c:layout>
            <c:manualLayout>
              <c:xMode val="edge"/>
              <c:yMode val="edge"/>
              <c:x val="1.7301307731270435E-2"/>
              <c:y val="0.23891228958459085"/>
            </c:manualLayout>
          </c:layout>
          <c:overlay val="0"/>
        </c:title>
        <c:numFmt formatCode="0.00E+0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578849312"/>
        <c:crosses val="autoZero"/>
        <c:crossBetween val="midCat"/>
      </c:valAx>
    </c:plotArea>
    <c:legend>
      <c:legendPos val="b"/>
      <c:overlay val="0"/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842105263157894"/>
          <c:y val="0.12124366189388204"/>
          <c:w val="0.8417397660818714"/>
          <c:h val="0.74638525756576346"/>
        </c:manualLayout>
      </c:layout>
      <c:scatterChart>
        <c:scatterStyle val="lineMarker"/>
        <c:varyColors val="0"/>
        <c:ser>
          <c:idx val="0"/>
          <c:order val="0"/>
          <c:xVal>
            <c:numRef>
              <c:f>'Electron beam and constants'!$K$5:$K$24</c:f>
              <c:numCache>
                <c:formatCode>0.0</c:formatCode>
                <c:ptCount val="20"/>
                <c:pt idx="0">
                  <c:v>88.789814220594806</c:v>
                </c:pt>
                <c:pt idx="1">
                  <c:v>97.805769762292854</c:v>
                </c:pt>
                <c:pt idx="2">
                  <c:v>108.23237470123031</c:v>
                </c:pt>
                <c:pt idx="3">
                  <c:v>120.37091067107384</c:v>
                </c:pt>
                <c:pt idx="4">
                  <c:v>134.60450607154465</c:v>
                </c:pt>
                <c:pt idx="5">
                  <c:v>151.42498527598556</c:v>
                </c:pt>
                <c:pt idx="6">
                  <c:v>171.46983473747989</c:v>
                </c:pt>
                <c:pt idx="7">
                  <c:v>195.57336995695437</c:v>
                </c:pt>
                <c:pt idx="8">
                  <c:v>224.83768508563927</c:v>
                </c:pt>
                <c:pt idx="9">
                  <c:v>260.73057580402542</c:v>
                </c:pt>
                <c:pt idx="10">
                  <c:v>305.21844026034</c:v>
                </c:pt>
                <c:pt idx="11">
                  <c:v>360.939340112379</c:v>
                </c:pt>
                <c:pt idx="12">
                  <c:v>431.40700217806557</c:v>
                </c:pt>
                <c:pt idx="13">
                  <c:v>521.18998820593822</c:v>
                </c:pt>
                <c:pt idx="14">
                  <c:v>635.88274409975054</c:v>
                </c:pt>
                <c:pt idx="15">
                  <c:v>781.37866000640838</c:v>
                </c:pt>
                <c:pt idx="16">
                  <c:v>961.35090126832881</c:v>
                </c:pt>
                <c:pt idx="17">
                  <c:v>1171.1549517944413</c:v>
                </c:pt>
                <c:pt idx="18">
                  <c:v>1387.4350491735283</c:v>
                </c:pt>
                <c:pt idx="19">
                  <c:v>1560.3244466416766</c:v>
                </c:pt>
              </c:numCache>
            </c:numRef>
          </c:xVal>
          <c:yVal>
            <c:numRef>
              <c:f>'Electron beam and constants'!$M$5:$M$24</c:f>
              <c:numCache>
                <c:formatCode>0.000000E+00</c:formatCode>
                <c:ptCount val="20"/>
                <c:pt idx="0">
                  <c:v>9.5986237308392796E+18</c:v>
                </c:pt>
                <c:pt idx="1">
                  <c:v>1.1176596699743347E+19</c:v>
                </c:pt>
                <c:pt idx="2">
                  <c:v>1.3092016619043623E+19</c:v>
                </c:pt>
                <c:pt idx="3">
                  <c:v>1.5434720267062077E+19</c:v>
                </c:pt>
                <c:pt idx="4">
                  <c:v>1.8323059108688855E+19</c:v>
                </c:pt>
                <c:pt idx="5">
                  <c:v>2.1914137583298679E+19</c:v>
                </c:pt>
                <c:pt idx="6">
                  <c:v>2.6417854709166166E+19</c:v>
                </c:pt>
                <c:pt idx="7">
                  <c:v>3.2115854595361964E+19</c:v>
                </c:pt>
                <c:pt idx="8">
                  <c:v>3.9386169477603967E+19</c:v>
                </c:pt>
                <c:pt idx="9">
                  <c:v>4.8732649226058408E+19</c:v>
                </c:pt>
                <c:pt idx="10">
                  <c:v>6.0812794350793056E+19</c:v>
                </c:pt>
                <c:pt idx="11">
                  <c:v>7.6442313711361786E+19</c:v>
                </c:pt>
                <c:pt idx="12">
                  <c:v>9.6515432330626286E+19</c:v>
                </c:pt>
                <c:pt idx="13">
                  <c:v>1.2168709365909478E+20</c:v>
                </c:pt>
                <c:pt idx="14">
                  <c:v>1.5147313879535056E+20</c:v>
                </c:pt>
                <c:pt idx="15">
                  <c:v>1.8216378579777546E+20</c:v>
                </c:pt>
                <c:pt idx="16">
                  <c:v>2.0316333423382289E+20</c:v>
                </c:pt>
                <c:pt idx="17">
                  <c:v>1.9437956291149247E+20</c:v>
                </c:pt>
                <c:pt idx="18">
                  <c:v>1.3641522086465184E+20</c:v>
                </c:pt>
                <c:pt idx="19">
                  <c:v>4.6792013618866946E+19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8E-4F6B-8669-837C93D91F90}"/>
            </c:ext>
          </c:extLst>
        </c:ser>
        <c:ser>
          <c:idx val="1"/>
          <c:order val="1"/>
          <c:xVal>
            <c:numRef>
              <c:f>'Electron beam and constants'!$N$5:$N$24</c:f>
              <c:numCache>
                <c:formatCode>0.0</c:formatCode>
                <c:ptCount val="20"/>
                <c:pt idx="0">
                  <c:v>266.36944266178443</c:v>
                </c:pt>
                <c:pt idx="1">
                  <c:v>293.41730928687861</c:v>
                </c:pt>
                <c:pt idx="2">
                  <c:v>324.69712410369095</c:v>
                </c:pt>
                <c:pt idx="3">
                  <c:v>361.11273201322155</c:v>
                </c:pt>
                <c:pt idx="4">
                  <c:v>403.81351821463397</c:v>
                </c:pt>
                <c:pt idx="5">
                  <c:v>454.27495582795666</c:v>
                </c:pt>
                <c:pt idx="6">
                  <c:v>514.40950421243963</c:v>
                </c:pt>
                <c:pt idx="7">
                  <c:v>586.7201098708631</c:v>
                </c:pt>
                <c:pt idx="8">
                  <c:v>674.51305525691794</c:v>
                </c:pt>
                <c:pt idx="9">
                  <c:v>782.19172741207626</c:v>
                </c:pt>
                <c:pt idx="10">
                  <c:v>915.65532078102001</c:v>
                </c:pt>
                <c:pt idx="11">
                  <c:v>1082.8180203371371</c:v>
                </c:pt>
                <c:pt idx="12">
                  <c:v>1294.2210065341967</c:v>
                </c:pt>
                <c:pt idx="13">
                  <c:v>1563.5699646178148</c:v>
                </c:pt>
                <c:pt idx="14">
                  <c:v>1907.6482322992517</c:v>
                </c:pt>
                <c:pt idx="15">
                  <c:v>2344.1359800192249</c:v>
                </c:pt>
                <c:pt idx="16">
                  <c:v>2884.0527038049868</c:v>
                </c:pt>
                <c:pt idx="17">
                  <c:v>3513.464855383324</c:v>
                </c:pt>
                <c:pt idx="18">
                  <c:v>4162.3051475205857</c:v>
                </c:pt>
                <c:pt idx="19">
                  <c:v>4680.9733399250299</c:v>
                </c:pt>
              </c:numCache>
            </c:numRef>
          </c:xVal>
          <c:yVal>
            <c:numRef>
              <c:f>'Electron beam and constants'!$P$5:$P$24</c:f>
              <c:numCache>
                <c:formatCode>0.000000E+00</c:formatCode>
                <c:ptCount val="20"/>
                <c:pt idx="0">
                  <c:v>3.3453644468312674E+19</c:v>
                </c:pt>
                <c:pt idx="1">
                  <c:v>3.8449183262731248E+19</c:v>
                </c:pt>
                <c:pt idx="2">
                  <c:v>4.4410301648298541E+19</c:v>
                </c:pt>
                <c:pt idx="3">
                  <c:v>5.156016079335687E+19</c:v>
                </c:pt>
                <c:pt idx="4">
                  <c:v>6.0177087002631201E+19</c:v>
                </c:pt>
                <c:pt idx="5">
                  <c:v>7.0605159260980519E+19</c:v>
                </c:pt>
                <c:pt idx="6">
                  <c:v>8.3261940655981216E+19</c:v>
                </c:pt>
                <c:pt idx="7">
                  <c:v>9.8635904938698424E+19</c:v>
                </c:pt>
                <c:pt idx="8">
                  <c:v>1.17256883569042E+20</c:v>
                </c:pt>
                <c:pt idx="9">
                  <c:v>1.3960398341268511E+20</c:v>
                </c:pt>
                <c:pt idx="10">
                  <c:v>1.6587882663154146E+20</c:v>
                </c:pt>
                <c:pt idx="11">
                  <c:v>1.9550828729444562E+20</c:v>
                </c:pt>
                <c:pt idx="12">
                  <c:v>2.2615820573166315E+20</c:v>
                </c:pt>
                <c:pt idx="13">
                  <c:v>2.5204583249635715E+20</c:v>
                </c:pt>
                <c:pt idx="14">
                  <c:v>2.6189863413889817E+20</c:v>
                </c:pt>
                <c:pt idx="15">
                  <c:v>2.3924979197598207E+20</c:v>
                </c:pt>
                <c:pt idx="16">
                  <c:v>1.7260842140234904E+20</c:v>
                </c:pt>
                <c:pt idx="17">
                  <c:v>8.0388377859069526E+19</c:v>
                </c:pt>
                <c:pt idx="18">
                  <c:v>1.5993284638912147E+19</c:v>
                </c:pt>
                <c:pt idx="19">
                  <c:v>4.3687571767119507E+17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28E-4F6B-8669-837C93D91F90}"/>
            </c:ext>
          </c:extLst>
        </c:ser>
        <c:ser>
          <c:idx val="2"/>
          <c:order val="2"/>
          <c:xVal>
            <c:numRef>
              <c:f>'Electron beam and constants'!$Q$5:$Q$24</c:f>
              <c:numCache>
                <c:formatCode>0.0</c:formatCode>
                <c:ptCount val="20"/>
                <c:pt idx="0">
                  <c:v>443.94907110297396</c:v>
                </c:pt>
                <c:pt idx="1">
                  <c:v>489.02884881146429</c:v>
                </c:pt>
                <c:pt idx="2">
                  <c:v>541.16187350615155</c:v>
                </c:pt>
                <c:pt idx="3">
                  <c:v>601.85455335536915</c:v>
                </c:pt>
                <c:pt idx="4">
                  <c:v>673.02253035772333</c:v>
                </c:pt>
                <c:pt idx="5">
                  <c:v>757.12492637992784</c:v>
                </c:pt>
                <c:pt idx="6">
                  <c:v>857.34917368739934</c:v>
                </c:pt>
                <c:pt idx="7">
                  <c:v>977.86684978477172</c:v>
                </c:pt>
                <c:pt idx="8">
                  <c:v>1124.1884254281963</c:v>
                </c:pt>
                <c:pt idx="9">
                  <c:v>1303.6528790201271</c:v>
                </c:pt>
                <c:pt idx="10">
                  <c:v>1526.0922013016998</c:v>
                </c:pt>
                <c:pt idx="11">
                  <c:v>1804.6967005618949</c:v>
                </c:pt>
                <c:pt idx="12">
                  <c:v>2157.0350108903276</c:v>
                </c:pt>
                <c:pt idx="13">
                  <c:v>2605.9499410296912</c:v>
                </c:pt>
                <c:pt idx="14">
                  <c:v>3179.4137204987524</c:v>
                </c:pt>
                <c:pt idx="15">
                  <c:v>3906.8933000320408</c:v>
                </c:pt>
                <c:pt idx="16">
                  <c:v>4806.7545063416437</c:v>
                </c:pt>
                <c:pt idx="17">
                  <c:v>5855.7747589722048</c:v>
                </c:pt>
                <c:pt idx="18">
                  <c:v>6937.1752458676419</c:v>
                </c:pt>
                <c:pt idx="19">
                  <c:v>7801.6222332083826</c:v>
                </c:pt>
              </c:numCache>
            </c:numRef>
          </c:xVal>
          <c:yVal>
            <c:numRef>
              <c:f>'Electron beam and constants'!$S$5:$S$24</c:f>
              <c:numCache>
                <c:formatCode>0.000000E+00</c:formatCode>
                <c:ptCount val="20"/>
                <c:pt idx="0">
                  <c:v>5.7074371232922485E+19</c:v>
                </c:pt>
                <c:pt idx="1">
                  <c:v>6.507261513022949E+19</c:v>
                </c:pt>
                <c:pt idx="2">
                  <c:v>7.4480186125293847E+19</c:v>
                </c:pt>
                <c:pt idx="3">
                  <c:v>8.5571230851656385E+19</c:v>
                </c:pt>
                <c:pt idx="4">
                  <c:v>9.8661812456012366E+19</c:v>
                </c:pt>
                <c:pt idx="5">
                  <c:v>1.1410010146212926E+20</c:v>
                </c:pt>
                <c:pt idx="6">
                  <c:v>1.3223619064912008E+20</c:v>
                </c:pt>
                <c:pt idx="7">
                  <c:v>1.5335097757843155E+20</c:v>
                </c:pt>
                <c:pt idx="8">
                  <c:v>1.7750638034083886E+20</c:v>
                </c:pt>
                <c:pt idx="9">
                  <c:v>2.042515877976857E+20</c:v>
                </c:pt>
                <c:pt idx="10">
                  <c:v>2.3208510537533184E+20</c:v>
                </c:pt>
                <c:pt idx="11">
                  <c:v>2.5756217137389748E+20</c:v>
                </c:pt>
                <c:pt idx="12">
                  <c:v>2.7407786248391501E+20</c:v>
                </c:pt>
                <c:pt idx="13">
                  <c:v>2.7103158221498997E+20</c:v>
                </c:pt>
                <c:pt idx="14">
                  <c:v>2.3590013498750737E+20</c:v>
                </c:pt>
                <c:pt idx="15">
                  <c:v>1.641563221486977E+20</c:v>
                </c:pt>
                <c:pt idx="16">
                  <c:v>7.675268568234754E+19</c:v>
                </c:pt>
                <c:pt idx="17">
                  <c:v>1.7408519526412706E+19</c:v>
                </c:pt>
                <c:pt idx="18">
                  <c:v>9.8082147896410778E+17</c:v>
                </c:pt>
                <c:pt idx="19">
                  <c:v>2129627052765815.5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28E-4F6B-8669-837C93D91F90}"/>
            </c:ext>
          </c:extLst>
        </c:ser>
        <c:ser>
          <c:idx val="3"/>
          <c:order val="3"/>
          <c:xVal>
            <c:numRef>
              <c:f>'Electron beam and constants'!$T$5:$T$24</c:f>
              <c:numCache>
                <c:formatCode>0.0</c:formatCode>
                <c:ptCount val="20"/>
                <c:pt idx="0">
                  <c:v>621.52869954416371</c:v>
                </c:pt>
                <c:pt idx="1">
                  <c:v>684.64038833605002</c:v>
                </c:pt>
                <c:pt idx="2">
                  <c:v>757.62662290861226</c:v>
                </c:pt>
                <c:pt idx="3">
                  <c:v>842.59637469751704</c:v>
                </c:pt>
                <c:pt idx="4">
                  <c:v>942.23154250081257</c:v>
                </c:pt>
                <c:pt idx="5">
                  <c:v>1059.9748969318989</c:v>
                </c:pt>
                <c:pt idx="6">
                  <c:v>1200.2888431623594</c:v>
                </c:pt>
                <c:pt idx="7">
                  <c:v>1369.0135896986806</c:v>
                </c:pt>
                <c:pt idx="8">
                  <c:v>1573.8637955994752</c:v>
                </c:pt>
                <c:pt idx="9">
                  <c:v>1825.1140306281782</c:v>
                </c:pt>
                <c:pt idx="10">
                  <c:v>2136.5290818223802</c:v>
                </c:pt>
                <c:pt idx="11">
                  <c:v>2526.5753807866536</c:v>
                </c:pt>
                <c:pt idx="12">
                  <c:v>3019.8490152464592</c:v>
                </c:pt>
                <c:pt idx="13">
                  <c:v>3648.3299174415679</c:v>
                </c:pt>
                <c:pt idx="14">
                  <c:v>4451.1792086982541</c:v>
                </c:pt>
                <c:pt idx="15">
                  <c:v>5469.6506200448584</c:v>
                </c:pt>
                <c:pt idx="16">
                  <c:v>6729.4563088783025</c:v>
                </c:pt>
                <c:pt idx="17">
                  <c:v>8198.0846625610884</c:v>
                </c:pt>
                <c:pt idx="18">
                  <c:v>9712.0453442146991</c:v>
                </c:pt>
                <c:pt idx="19">
                  <c:v>10922.271126491738</c:v>
                </c:pt>
              </c:numCache>
            </c:numRef>
          </c:xVal>
          <c:yVal>
            <c:numRef>
              <c:f>'Electron beam and constants'!$V$5:$V$24</c:f>
              <c:numCache>
                <c:formatCode>0.000000E+00</c:formatCode>
                <c:ptCount val="20"/>
                <c:pt idx="0">
                  <c:v>7.9523761078554411E+19</c:v>
                </c:pt>
                <c:pt idx="1">
                  <c:v>9.0039671971021849E+19</c:v>
                </c:pt>
                <c:pt idx="2">
                  <c:v>1.0223395650495324E+20</c:v>
                </c:pt>
                <c:pt idx="3">
                  <c:v>1.1636474531494883E+20</c:v>
                </c:pt>
                <c:pt idx="4">
                  <c:v>1.326917873202205E+20</c:v>
                </c:pt>
                <c:pt idx="5">
                  <c:v>1.5143595882547462E+20</c:v>
                </c:pt>
                <c:pt idx="6">
                  <c:v>1.7269897557706061E+20</c:v>
                </c:pt>
                <c:pt idx="7">
                  <c:v>1.9631313913904179E+20</c:v>
                </c:pt>
                <c:pt idx="8">
                  <c:v>2.2157387753638065E+20</c:v>
                </c:pt>
                <c:pt idx="9">
                  <c:v>2.4679222910547647E+20</c:v>
                </c:pt>
                <c:pt idx="10">
                  <c:v>2.6861565657641612E+20</c:v>
                </c:pt>
                <c:pt idx="11">
                  <c:v>2.8120569249631761E+20</c:v>
                </c:pt>
                <c:pt idx="12">
                  <c:v>2.7582591124539982E+20</c:v>
                </c:pt>
                <c:pt idx="13">
                  <c:v>2.4255594529413323E+20</c:v>
                </c:pt>
                <c:pt idx="14">
                  <c:v>1.7725582082871027E+20</c:v>
                </c:pt>
                <c:pt idx="15">
                  <c:v>9.4193951609969017E+19</c:v>
                </c:pt>
                <c:pt idx="16">
                  <c:v>2.8613943347587174E+19</c:v>
                </c:pt>
                <c:pt idx="17">
                  <c:v>3.1680463002412278E+18</c:v>
                </c:pt>
                <c:pt idx="18">
                  <c:v>5.0638382316397136E+16</c:v>
                </c:pt>
                <c:pt idx="19">
                  <c:v>8748163498203.5313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28E-4F6B-8669-837C93D91F90}"/>
            </c:ext>
          </c:extLst>
        </c:ser>
        <c:ser>
          <c:idx val="4"/>
          <c:order val="4"/>
          <c:xVal>
            <c:numRef>
              <c:f>'Electron beam and constants'!$W$5:$W$24</c:f>
              <c:numCache>
                <c:formatCode>0.0</c:formatCode>
                <c:ptCount val="20"/>
                <c:pt idx="0">
                  <c:v>799.10832798535341</c:v>
                </c:pt>
                <c:pt idx="1">
                  <c:v>880.25192786063587</c:v>
                </c:pt>
                <c:pt idx="2">
                  <c:v>974.09137231107297</c:v>
                </c:pt>
                <c:pt idx="3">
                  <c:v>1083.3381960396648</c:v>
                </c:pt>
                <c:pt idx="4">
                  <c:v>1211.440554643902</c:v>
                </c:pt>
                <c:pt idx="5">
                  <c:v>1362.8248674838703</c:v>
                </c:pt>
                <c:pt idx="6">
                  <c:v>1543.2285126373192</c:v>
                </c:pt>
                <c:pt idx="7">
                  <c:v>1760.1603296125895</c:v>
                </c:pt>
                <c:pt idx="8">
                  <c:v>2023.5391657707539</c:v>
                </c:pt>
                <c:pt idx="9">
                  <c:v>2346.575182236229</c:v>
                </c:pt>
                <c:pt idx="10">
                  <c:v>2746.9659623430603</c:v>
                </c:pt>
                <c:pt idx="11">
                  <c:v>3248.4540610114123</c:v>
                </c:pt>
                <c:pt idx="12">
                  <c:v>3882.6630196025903</c:v>
                </c:pt>
                <c:pt idx="13">
                  <c:v>4690.7098938534455</c:v>
                </c:pt>
                <c:pt idx="14">
                  <c:v>5722.9446968977554</c:v>
                </c:pt>
                <c:pt idx="15">
                  <c:v>7032.4079400576757</c:v>
                </c:pt>
                <c:pt idx="16">
                  <c:v>8652.1581114149612</c:v>
                </c:pt>
                <c:pt idx="17">
                  <c:v>10540.394566149973</c:v>
                </c:pt>
                <c:pt idx="18">
                  <c:v>12486.915442561756</c:v>
                </c:pt>
                <c:pt idx="19">
                  <c:v>14042.920019775092</c:v>
                </c:pt>
              </c:numCache>
            </c:numRef>
          </c:xVal>
          <c:yVal>
            <c:numRef>
              <c:f>'Electron beam and constants'!$Y$5:$Y$24</c:f>
              <c:numCache>
                <c:formatCode>0.000000E+00</c:formatCode>
                <c:ptCount val="20"/>
                <c:pt idx="0">
                  <c:v>1.005213988925544E+20</c:v>
                </c:pt>
                <c:pt idx="1">
                  <c:v>1.1308366219495093E+20</c:v>
                </c:pt>
                <c:pt idx="2">
                  <c:v>1.2744302546191917E+20</c:v>
                </c:pt>
                <c:pt idx="3">
                  <c:v>1.437912282144372E+20</c:v>
                </c:pt>
                <c:pt idx="4">
                  <c:v>1.6226517553394447E+20</c:v>
                </c:pt>
                <c:pt idx="5">
                  <c:v>1.8287297575139528E+20</c:v>
                </c:pt>
                <c:pt idx="6">
                  <c:v>2.0536420594622054E+20</c:v>
                </c:pt>
                <c:pt idx="7">
                  <c:v>2.2901168660711119E+20</c:v>
                </c:pt>
                <c:pt idx="8">
                  <c:v>2.5226427601794761E+20</c:v>
                </c:pt>
                <c:pt idx="9">
                  <c:v>2.7224442441929723E+20</c:v>
                </c:pt>
                <c:pt idx="10">
                  <c:v>2.8415494546741523E+20</c:v>
                </c:pt>
                <c:pt idx="11">
                  <c:v>2.8095561892691552E+20</c:v>
                </c:pt>
                <c:pt idx="12">
                  <c:v>2.543639350591815E+20</c:v>
                </c:pt>
                <c:pt idx="13">
                  <c:v>1.9920973292013489E+20</c:v>
                </c:pt>
                <c:pt idx="14">
                  <c:v>1.2242934825151916E+20</c:v>
                </c:pt>
                <c:pt idx="15">
                  <c:v>4.9768817562672742E+19</c:v>
                </c:pt>
                <c:pt idx="16">
                  <c:v>9.8403088691611156E+18</c:v>
                </c:pt>
                <c:pt idx="17">
                  <c:v>5.3272659526330797E+17</c:v>
                </c:pt>
                <c:pt idx="18">
                  <c:v>2419062051156867.5</c:v>
                </c:pt>
                <c:pt idx="19">
                  <c:v>33278850291.001038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28E-4F6B-8669-837C93D91F90}"/>
            </c:ext>
          </c:extLst>
        </c:ser>
        <c:ser>
          <c:idx val="5"/>
          <c:order val="5"/>
          <c:xVal>
            <c:numRef>
              <c:f>'Electron beam and constants'!$Z$5:$Z$24</c:f>
              <c:numCache>
                <c:formatCode>0.0</c:formatCode>
                <c:ptCount val="20"/>
                <c:pt idx="0">
                  <c:v>976.68795642654288</c:v>
                </c:pt>
                <c:pt idx="1">
                  <c:v>1075.8634673852216</c:v>
                </c:pt>
                <c:pt idx="2">
                  <c:v>1190.5561217135335</c:v>
                </c:pt>
                <c:pt idx="3">
                  <c:v>1324.0800173818122</c:v>
                </c:pt>
                <c:pt idx="4">
                  <c:v>1480.6495667869913</c:v>
                </c:pt>
                <c:pt idx="5">
                  <c:v>1665.674838035841</c:v>
                </c:pt>
                <c:pt idx="6">
                  <c:v>1886.1681821122786</c:v>
                </c:pt>
                <c:pt idx="7">
                  <c:v>2151.3070695264978</c:v>
                </c:pt>
                <c:pt idx="8">
                  <c:v>2473.2145359420319</c:v>
                </c:pt>
                <c:pt idx="9">
                  <c:v>2868.0363338442794</c:v>
                </c:pt>
                <c:pt idx="10">
                  <c:v>3357.4028428637398</c:v>
                </c:pt>
                <c:pt idx="11">
                  <c:v>3970.3327412361696</c:v>
                </c:pt>
                <c:pt idx="12">
                  <c:v>4745.4770239587206</c:v>
                </c:pt>
                <c:pt idx="13">
                  <c:v>5733.0898702653203</c:v>
                </c:pt>
                <c:pt idx="14">
                  <c:v>6994.7101850972558</c:v>
                </c:pt>
                <c:pt idx="15">
                  <c:v>8595.1652600704911</c:v>
                </c:pt>
                <c:pt idx="16">
                  <c:v>10574.859913951617</c:v>
                </c:pt>
                <c:pt idx="17">
                  <c:v>12882.704469738852</c:v>
                </c:pt>
                <c:pt idx="18">
                  <c:v>15261.785540908813</c:v>
                </c:pt>
                <c:pt idx="19">
                  <c:v>17163.568913058443</c:v>
                </c:pt>
              </c:numCache>
            </c:numRef>
          </c:xVal>
          <c:yVal>
            <c:numRef>
              <c:f>'Electron beam and constants'!$AB$5:$AB$24</c:f>
              <c:numCache>
                <c:formatCode>0.000000E+00</c:formatCode>
                <c:ptCount val="20"/>
                <c:pt idx="0">
                  <c:v>1.1999404836892321E+20</c:v>
                </c:pt>
                <c:pt idx="1">
                  <c:v>1.3416871233173894E+20</c:v>
                </c:pt>
                <c:pt idx="2">
                  <c:v>1.5013416235142893E+20</c:v>
                </c:pt>
                <c:pt idx="3">
                  <c:v>1.6797957597106297E+20</c:v>
                </c:pt>
                <c:pt idx="4">
                  <c:v>1.8767490338720006E+20</c:v>
                </c:pt>
                <c:pt idx="5">
                  <c:v>2.0896558916797855E+20</c:v>
                </c:pt>
                <c:pt idx="6">
                  <c:v>2.3120176595900681E+20</c:v>
                </c:pt>
                <c:pt idx="7">
                  <c:v>2.5307464426605835E+20</c:v>
                </c:pt>
                <c:pt idx="8">
                  <c:v>2.7224177377271697E+20</c:v>
                </c:pt>
                <c:pt idx="9">
                  <c:v>2.8487789318670336E+20</c:v>
                </c:pt>
                <c:pt idx="10">
                  <c:v>2.8536105756802623E+20</c:v>
                </c:pt>
                <c:pt idx="11">
                  <c:v>2.6671442616725245E+20</c:v>
                </c:pt>
                <c:pt idx="12">
                  <c:v>2.2309467236089761E+20</c:v>
                </c:pt>
                <c:pt idx="13">
                  <c:v>1.5576873299820292E+20</c:v>
                </c:pt>
                <c:pt idx="14">
                  <c:v>8.0600681661083615E+19</c:v>
                </c:pt>
                <c:pt idx="15">
                  <c:v>2.5095104980539855E+19</c:v>
                </c:pt>
                <c:pt idx="16">
                  <c:v>3.2335372755048044E+18</c:v>
                </c:pt>
                <c:pt idx="17">
                  <c:v>8.5696671695424944E+16</c:v>
                </c:pt>
                <c:pt idx="18">
                  <c:v>110655118213982.48</c:v>
                </c:pt>
                <c:pt idx="19">
                  <c:v>121291370.83943129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28E-4F6B-8669-837C93D91F90}"/>
            </c:ext>
          </c:extLst>
        </c:ser>
        <c:ser>
          <c:idx val="6"/>
          <c:order val="6"/>
          <c:xVal>
            <c:numRef>
              <c:f>'Electron beam and constants'!$AC$5:$AC$24</c:f>
              <c:numCache>
                <c:formatCode>0.0</c:formatCode>
                <c:ptCount val="20"/>
                <c:pt idx="0">
                  <c:v>1154.2675848677325</c:v>
                </c:pt>
                <c:pt idx="1">
                  <c:v>1271.4750069098072</c:v>
                </c:pt>
                <c:pt idx="2">
                  <c:v>1407.0208711159939</c:v>
                </c:pt>
                <c:pt idx="3">
                  <c:v>1564.8218387239599</c:v>
                </c:pt>
                <c:pt idx="4">
                  <c:v>1749.8585789300803</c:v>
                </c:pt>
                <c:pt idx="5">
                  <c:v>1968.5248085878122</c:v>
                </c:pt>
                <c:pt idx="6">
                  <c:v>2229.1078515872382</c:v>
                </c:pt>
                <c:pt idx="7">
                  <c:v>2542.4538094404065</c:v>
                </c:pt>
                <c:pt idx="8">
                  <c:v>2922.8899061133106</c:v>
                </c:pt>
                <c:pt idx="9">
                  <c:v>3389.4974854523298</c:v>
                </c:pt>
                <c:pt idx="10">
                  <c:v>3967.8397233844198</c:v>
                </c:pt>
                <c:pt idx="11">
                  <c:v>4692.2114214609273</c:v>
                </c:pt>
                <c:pt idx="12">
                  <c:v>5608.2910283148512</c:v>
                </c:pt>
                <c:pt idx="13">
                  <c:v>6775.469846677197</c:v>
                </c:pt>
                <c:pt idx="14">
                  <c:v>8266.4756732967562</c:v>
                </c:pt>
                <c:pt idx="15">
                  <c:v>10157.922580083308</c:v>
                </c:pt>
                <c:pt idx="16">
                  <c:v>12497.561716488275</c:v>
                </c:pt>
                <c:pt idx="17">
                  <c:v>15225.014373327736</c:v>
                </c:pt>
                <c:pt idx="18">
                  <c:v>18036.65563925587</c:v>
                </c:pt>
                <c:pt idx="19">
                  <c:v>20284.217806341796</c:v>
                </c:pt>
              </c:numCache>
            </c:numRef>
          </c:xVal>
          <c:yVal>
            <c:numRef>
              <c:f>'Electron beam and constants'!$AE$5:$AE$24</c:f>
              <c:numCache>
                <c:formatCode>0.000000E+00</c:formatCode>
                <c:ptCount val="20"/>
                <c:pt idx="0">
                  <c:v>1.3795550118434177E+20</c:v>
                </c:pt>
                <c:pt idx="1">
                  <c:v>1.5335191759617068E+20</c:v>
                </c:pt>
                <c:pt idx="2">
                  <c:v>1.7043065774088972E+20</c:v>
                </c:pt>
                <c:pt idx="3">
                  <c:v>1.8915366745015881E+20</c:v>
                </c:pt>
                <c:pt idx="4">
                  <c:v>2.0929732471235687E+20</c:v>
                </c:pt>
                <c:pt idx="5">
                  <c:v>2.3032112724063683E+20</c:v>
                </c:pt>
                <c:pt idx="6">
                  <c:v>2.5116846350588907E+20</c:v>
                </c:pt>
                <c:pt idx="7">
                  <c:v>2.6998490970340537E+20</c:v>
                </c:pt>
                <c:pt idx="8">
                  <c:v>2.8376981898236992E+20</c:v>
                </c:pt>
                <c:pt idx="9">
                  <c:v>2.8807491858337097E+20</c:v>
                </c:pt>
                <c:pt idx="10">
                  <c:v>2.7710168501518215E+20</c:v>
                </c:pt>
                <c:pt idx="11">
                  <c:v>2.4498710216637481E+20</c:v>
                </c:pt>
                <c:pt idx="12">
                  <c:v>1.8946103453699237E+20</c:v>
                </c:pt>
                <c:pt idx="13">
                  <c:v>1.1802744429393602E+20</c:v>
                </c:pt>
                <c:pt idx="14">
                  <c:v>5.1461981317780537E+19</c:v>
                </c:pt>
                <c:pt idx="15">
                  <c:v>1.228278136676533E+19</c:v>
                </c:pt>
                <c:pt idx="16">
                  <c:v>1.0323059425997373E+18</c:v>
                </c:pt>
                <c:pt idx="17">
                  <c:v>1.3404280652869474E+16</c:v>
                </c:pt>
                <c:pt idx="18">
                  <c:v>4924968984688.3398</c:v>
                </c:pt>
                <c:pt idx="19">
                  <c:v>430304.91190251807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28E-4F6B-8669-837C93D91F90}"/>
            </c:ext>
          </c:extLst>
        </c:ser>
        <c:ser>
          <c:idx val="7"/>
          <c:order val="7"/>
          <c:xVal>
            <c:numRef>
              <c:f>'Electron beam and constants'!$AF$5:$AF$24</c:f>
              <c:numCache>
                <c:formatCode>0.0</c:formatCode>
                <c:ptCount val="20"/>
                <c:pt idx="0">
                  <c:v>1331.8472133089222</c:v>
                </c:pt>
                <c:pt idx="1">
                  <c:v>1467.0865464343929</c:v>
                </c:pt>
                <c:pt idx="2">
                  <c:v>1623.4856205184549</c:v>
                </c:pt>
                <c:pt idx="3">
                  <c:v>1805.5636600661076</c:v>
                </c:pt>
                <c:pt idx="4">
                  <c:v>2019.06759107317</c:v>
                </c:pt>
                <c:pt idx="5">
                  <c:v>2271.3747791397836</c:v>
                </c:pt>
                <c:pt idx="6">
                  <c:v>2572.0475210621985</c:v>
                </c:pt>
                <c:pt idx="7">
                  <c:v>2933.6005493543157</c:v>
                </c:pt>
                <c:pt idx="8">
                  <c:v>3372.5652762845898</c:v>
                </c:pt>
                <c:pt idx="9">
                  <c:v>3910.9586370603815</c:v>
                </c:pt>
                <c:pt idx="10">
                  <c:v>4578.2766039051003</c:v>
                </c:pt>
                <c:pt idx="11">
                  <c:v>5414.090101685686</c:v>
                </c:pt>
                <c:pt idx="12">
                  <c:v>6471.1050326709837</c:v>
                </c:pt>
                <c:pt idx="13">
                  <c:v>7817.8498230890737</c:v>
                </c:pt>
                <c:pt idx="14">
                  <c:v>9538.2411614962584</c:v>
                </c:pt>
                <c:pt idx="15">
                  <c:v>11720.679900096124</c:v>
                </c:pt>
                <c:pt idx="16">
                  <c:v>14420.263519024935</c:v>
                </c:pt>
                <c:pt idx="17">
                  <c:v>17567.324276916617</c:v>
                </c:pt>
                <c:pt idx="18">
                  <c:v>20811.525737602926</c:v>
                </c:pt>
                <c:pt idx="19">
                  <c:v>23404.866699625152</c:v>
                </c:pt>
              </c:numCache>
            </c:numRef>
          </c:xVal>
          <c:yVal>
            <c:numRef>
              <c:f>'Electron beam and constants'!$AH$5:$AH$24</c:f>
              <c:numCache>
                <c:formatCode>0.000000E+00</c:formatCode>
                <c:ptCount val="20"/>
                <c:pt idx="0">
                  <c:v>1.544593898012075E+20</c:v>
                </c:pt>
                <c:pt idx="1">
                  <c:v>1.7072981671670261E+20</c:v>
                </c:pt>
                <c:pt idx="2">
                  <c:v>1.8849181316454026E+20</c:v>
                </c:pt>
                <c:pt idx="3">
                  <c:v>2.0756458284491515E+20</c:v>
                </c:pt>
                <c:pt idx="4">
                  <c:v>2.2751782059958639E+20</c:v>
                </c:pt>
                <c:pt idx="5">
                  <c:v>2.4752134800438687E+20</c:v>
                </c:pt>
                <c:pt idx="6">
                  <c:v>2.6613212725997375E+20</c:v>
                </c:pt>
                <c:pt idx="7">
                  <c:v>2.8102231720307507E+20</c:v>
                </c:pt>
                <c:pt idx="8">
                  <c:v>2.8870563492779688E+20</c:v>
                </c:pt>
                <c:pt idx="9">
                  <c:v>2.8445449839514049E+20</c:v>
                </c:pt>
                <c:pt idx="10">
                  <c:v>2.6287185196040972E+20</c:v>
                </c:pt>
                <c:pt idx="11">
                  <c:v>2.1994685566673211E+20</c:v>
                </c:pt>
                <c:pt idx="12">
                  <c:v>1.5734902135871426E+20</c:v>
                </c:pt>
                <c:pt idx="13">
                  <c:v>8.750909787119557E+19</c:v>
                </c:pt>
                <c:pt idx="14">
                  <c:v>3.2171619089385988E+19</c:v>
                </c:pt>
                <c:pt idx="15">
                  <c:v>5.8901477931075072E+18</c:v>
                </c:pt>
                <c:pt idx="16">
                  <c:v>3.2310499607942106E+17</c:v>
                </c:pt>
                <c:pt idx="17">
                  <c:v>2056781270108300.8</c:v>
                </c:pt>
                <c:pt idx="18">
                  <c:v>215133314995.10379</c:v>
                </c:pt>
                <c:pt idx="19">
                  <c:v>1498.7265241120272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28E-4F6B-8669-837C93D91F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8849312"/>
        <c:axId val="1"/>
      </c:scatterChart>
      <c:valAx>
        <c:axId val="578849312"/>
        <c:scaling>
          <c:logBase val="10"/>
          <c:orientation val="minMax"/>
          <c:min val="800"/>
        </c:scaling>
        <c:delete val="0"/>
        <c:axPos val="t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pt-BR"/>
                  <a:t>E [eV]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1"/>
        <c:crosses val="max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pt-BR"/>
                  <a:t>Brillance</a:t>
                </a:r>
                <a:r>
                  <a:rPr lang="pt-BR" sz="1200" b="1" i="0" u="none" strike="noStrike" baseline="0">
                    <a:effectLst/>
                  </a:rPr>
                  <a:t> [photons/ s / mm² / mrad² / 0.1% BW]</a:t>
                </a:r>
                <a:endParaRPr lang="pt-BR"/>
              </a:p>
            </c:rich>
          </c:tx>
          <c:layout>
            <c:manualLayout>
              <c:xMode val="edge"/>
              <c:yMode val="edge"/>
              <c:x val="1.9907063778623234E-2"/>
              <c:y val="0.15938395044240453"/>
            </c:manualLayout>
          </c:layout>
          <c:overlay val="0"/>
        </c:title>
        <c:numFmt formatCode="0.00E+0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578849312"/>
        <c:crosses val="autoZero"/>
        <c:crossBetween val="midCat"/>
      </c:valAx>
    </c:plotArea>
    <c:legend>
      <c:legendPos val="b"/>
      <c:overlay val="0"/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'Create Undulator Magnet'!$L$3:$L$7</c:f>
              <c:numCache>
                <c:formatCode>General</c:formatCode>
                <c:ptCount val="5"/>
                <c:pt idx="0">
                  <c:v>-3.4899999999999998</c:v>
                </c:pt>
                <c:pt idx="1">
                  <c:v>3.4899999999999998</c:v>
                </c:pt>
                <c:pt idx="2">
                  <c:v>3.4899999999999998</c:v>
                </c:pt>
                <c:pt idx="3">
                  <c:v>-3.4899999999999998</c:v>
                </c:pt>
                <c:pt idx="4">
                  <c:v>-3.4899999999999998</c:v>
                </c:pt>
              </c:numCache>
            </c:numRef>
          </c:xVal>
          <c:yVal>
            <c:numRef>
              <c:f>'Create Undulator Magnet'!$M$3:$M$7</c:f>
              <c:numCache>
                <c:formatCode>General</c:formatCode>
                <c:ptCount val="5"/>
                <c:pt idx="0">
                  <c:v>-2.04</c:v>
                </c:pt>
                <c:pt idx="1">
                  <c:v>-2.04</c:v>
                </c:pt>
                <c:pt idx="2">
                  <c:v>2.04</c:v>
                </c:pt>
                <c:pt idx="3">
                  <c:v>2.04</c:v>
                </c:pt>
                <c:pt idx="4">
                  <c:v>-2.04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FCF-4CD1-9CF8-63E2CF8861E2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'Create Undulator Magnet'!$L$12:$L$13</c:f>
              <c:numCache>
                <c:formatCode>0.00</c:formatCode>
                <c:ptCount val="2"/>
                <c:pt idx="0">
                  <c:v>8.8388347648318444</c:v>
                </c:pt>
                <c:pt idx="1">
                  <c:v>1.0606601717798219</c:v>
                </c:pt>
              </c:numCache>
            </c:numRef>
          </c:xVal>
          <c:yVal>
            <c:numRef>
              <c:f>'Create Undulator Magnet'!$M$12:$M$13</c:f>
              <c:numCache>
                <c:formatCode>0.00</c:formatCode>
                <c:ptCount val="2"/>
                <c:pt idx="0">
                  <c:v>1.0606601717798201</c:v>
                </c:pt>
                <c:pt idx="1">
                  <c:v>8.8388347648318444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FCF-4CD1-9CF8-63E2CF8861E2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'Create Undulator Magnet'!$L$15:$L$16</c:f>
              <c:numCache>
                <c:formatCode>0.00</c:formatCode>
                <c:ptCount val="2"/>
                <c:pt idx="0">
                  <c:v>-8.8388347648318444</c:v>
                </c:pt>
                <c:pt idx="1">
                  <c:v>-1.0606601717798219</c:v>
                </c:pt>
              </c:numCache>
            </c:numRef>
          </c:xVal>
          <c:yVal>
            <c:numRef>
              <c:f>'Create Undulator Magnet'!$M$15:$M$16</c:f>
              <c:numCache>
                <c:formatCode>0.00</c:formatCode>
                <c:ptCount val="2"/>
                <c:pt idx="0">
                  <c:v>1.0606601717798201</c:v>
                </c:pt>
                <c:pt idx="1">
                  <c:v>8.8388347648318444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FCF-4CD1-9CF8-63E2CF8861E2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'Create Undulator Magnet'!$L$18:$L$19</c:f>
              <c:numCache>
                <c:formatCode>0.00</c:formatCode>
                <c:ptCount val="2"/>
                <c:pt idx="0">
                  <c:v>1.0606601717798219</c:v>
                </c:pt>
                <c:pt idx="1">
                  <c:v>8.8388347648318444</c:v>
                </c:pt>
              </c:numCache>
            </c:numRef>
          </c:xVal>
          <c:yVal>
            <c:numRef>
              <c:f>'Create Undulator Magnet'!$M$18:$M$19</c:f>
              <c:numCache>
                <c:formatCode>0.00</c:formatCode>
                <c:ptCount val="2"/>
                <c:pt idx="0">
                  <c:v>-8.8388347648318444</c:v>
                </c:pt>
                <c:pt idx="1">
                  <c:v>-1.0606601717798201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FCF-4CD1-9CF8-63E2CF8861E2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'Create Undulator Magnet'!$L$21:$L$22</c:f>
              <c:numCache>
                <c:formatCode>0.00</c:formatCode>
                <c:ptCount val="2"/>
                <c:pt idx="0">
                  <c:v>-8.8388347648318444</c:v>
                </c:pt>
                <c:pt idx="1">
                  <c:v>-1.0606601717798219</c:v>
                </c:pt>
              </c:numCache>
            </c:numRef>
          </c:xVal>
          <c:yVal>
            <c:numRef>
              <c:f>'Create Undulator Magnet'!$M$21:$M$22</c:f>
              <c:numCache>
                <c:formatCode>0.00</c:formatCode>
                <c:ptCount val="2"/>
                <c:pt idx="0">
                  <c:v>-1.0606601717798201</c:v>
                </c:pt>
                <c:pt idx="1">
                  <c:v>-8.8388347648318444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FCF-4CD1-9CF8-63E2CF8861E2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'Create Undulator Magnet'!$O$3:$O$24</c:f>
              <c:numCache>
                <c:formatCode>General</c:formatCode>
                <c:ptCount val="22"/>
                <c:pt idx="0">
                  <c:v>-3.4899999999999998</c:v>
                </c:pt>
                <c:pt idx="1">
                  <c:v>-3.1576190476190473</c:v>
                </c:pt>
                <c:pt idx="2">
                  <c:v>-2.8252380952380949</c:v>
                </c:pt>
                <c:pt idx="3">
                  <c:v>-2.4928571428571424</c:v>
                </c:pt>
                <c:pt idx="4">
                  <c:v>-2.16047619047619</c:v>
                </c:pt>
                <c:pt idx="5">
                  <c:v>-1.8280952380952376</c:v>
                </c:pt>
                <c:pt idx="6">
                  <c:v>-1.4957142857142851</c:v>
                </c:pt>
                <c:pt idx="7">
                  <c:v>-1.1633333333333327</c:v>
                </c:pt>
                <c:pt idx="8">
                  <c:v>-0.83095238095238033</c:v>
                </c:pt>
                <c:pt idx="9">
                  <c:v>-0.498571428571428</c:v>
                </c:pt>
                <c:pt idx="10">
                  <c:v>-0.16619047619047567</c:v>
                </c:pt>
                <c:pt idx="11">
                  <c:v>0.16619047619047667</c:v>
                </c:pt>
                <c:pt idx="12">
                  <c:v>0.498571428571429</c:v>
                </c:pt>
                <c:pt idx="13">
                  <c:v>0.83095238095238133</c:v>
                </c:pt>
                <c:pt idx="14">
                  <c:v>1.1633333333333336</c:v>
                </c:pt>
                <c:pt idx="15">
                  <c:v>1.495714285714286</c:v>
                </c:pt>
                <c:pt idx="16">
                  <c:v>1.8280952380952384</c:v>
                </c:pt>
                <c:pt idx="17">
                  <c:v>2.1604761904761909</c:v>
                </c:pt>
                <c:pt idx="18">
                  <c:v>2.4928571428571433</c:v>
                </c:pt>
                <c:pt idx="19">
                  <c:v>2.8252380952380958</c:v>
                </c:pt>
                <c:pt idx="20">
                  <c:v>3.1576190476190482</c:v>
                </c:pt>
                <c:pt idx="21">
                  <c:v>3.4900000000000007</c:v>
                </c:pt>
              </c:numCache>
            </c:numRef>
          </c:xVal>
          <c:yVal>
            <c:numRef>
              <c:f>'Create Undulator Magnet'!$P$3:$P$24</c:f>
              <c:numCache>
                <c:formatCode>General</c:formatCode>
                <c:ptCount val="22"/>
                <c:pt idx="0">
                  <c:v>0</c:v>
                </c:pt>
                <c:pt idx="1">
                  <c:v>0.86887212839991812</c:v>
                </c:pt>
                <c:pt idx="2">
                  <c:v>1.1976575777196869</c:v>
                </c:pt>
                <c:pt idx="3">
                  <c:v>1.4277025929364811</c:v>
                </c:pt>
                <c:pt idx="4">
                  <c:v>1.6021210430971482</c:v>
                </c:pt>
                <c:pt idx="5">
                  <c:v>1.7377442567998367</c:v>
                </c:pt>
                <c:pt idx="6">
                  <c:v>1.8431561219267127</c:v>
                </c:pt>
                <c:pt idx="7">
                  <c:v>1.9233304448274093</c:v>
                </c:pt>
                <c:pt idx="8">
                  <c:v>1.9813332967103394</c:v>
                </c:pt>
                <c:pt idx="9">
                  <c:v>2.0190763699660055</c:v>
                </c:pt>
                <c:pt idx="10">
                  <c:v>2.0376857621591515</c:v>
                </c:pt>
                <c:pt idx="11">
                  <c:v>2.0376857621591515</c:v>
                </c:pt>
                <c:pt idx="12">
                  <c:v>2.0190763699660055</c:v>
                </c:pt>
                <c:pt idx="13">
                  <c:v>1.981333296710339</c:v>
                </c:pt>
                <c:pt idx="14">
                  <c:v>1.9233304448274091</c:v>
                </c:pt>
                <c:pt idx="15">
                  <c:v>1.8431561219267125</c:v>
                </c:pt>
                <c:pt idx="16">
                  <c:v>1.7377442567998365</c:v>
                </c:pt>
                <c:pt idx="17">
                  <c:v>1.6021210430971478</c:v>
                </c:pt>
                <c:pt idx="18">
                  <c:v>1.4277025929364804</c:v>
                </c:pt>
                <c:pt idx="19">
                  <c:v>1.1976575777196861</c:v>
                </c:pt>
                <c:pt idx="20">
                  <c:v>0.86887212839991701</c:v>
                </c:pt>
                <c:pt idx="2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AFCF-4CD1-9CF8-63E2CF8861E2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'Create Undulator Magnet'!$O$3:$O$24</c:f>
              <c:numCache>
                <c:formatCode>General</c:formatCode>
                <c:ptCount val="22"/>
                <c:pt idx="0">
                  <c:v>-3.4899999999999998</c:v>
                </c:pt>
                <c:pt idx="1">
                  <c:v>-3.1576190476190473</c:v>
                </c:pt>
                <c:pt idx="2">
                  <c:v>-2.8252380952380949</c:v>
                </c:pt>
                <c:pt idx="3">
                  <c:v>-2.4928571428571424</c:v>
                </c:pt>
                <c:pt idx="4">
                  <c:v>-2.16047619047619</c:v>
                </c:pt>
                <c:pt idx="5">
                  <c:v>-1.8280952380952376</c:v>
                </c:pt>
                <c:pt idx="6">
                  <c:v>-1.4957142857142851</c:v>
                </c:pt>
                <c:pt idx="7">
                  <c:v>-1.1633333333333327</c:v>
                </c:pt>
                <c:pt idx="8">
                  <c:v>-0.83095238095238033</c:v>
                </c:pt>
                <c:pt idx="9">
                  <c:v>-0.498571428571428</c:v>
                </c:pt>
                <c:pt idx="10">
                  <c:v>-0.16619047619047567</c:v>
                </c:pt>
                <c:pt idx="11">
                  <c:v>0.16619047619047667</c:v>
                </c:pt>
                <c:pt idx="12">
                  <c:v>0.498571428571429</c:v>
                </c:pt>
                <c:pt idx="13">
                  <c:v>0.83095238095238133</c:v>
                </c:pt>
                <c:pt idx="14">
                  <c:v>1.1633333333333336</c:v>
                </c:pt>
                <c:pt idx="15">
                  <c:v>1.495714285714286</c:v>
                </c:pt>
                <c:pt idx="16">
                  <c:v>1.8280952380952384</c:v>
                </c:pt>
                <c:pt idx="17">
                  <c:v>2.1604761904761909</c:v>
                </c:pt>
                <c:pt idx="18">
                  <c:v>2.4928571428571433</c:v>
                </c:pt>
                <c:pt idx="19">
                  <c:v>2.8252380952380958</c:v>
                </c:pt>
                <c:pt idx="20">
                  <c:v>3.1576190476190482</c:v>
                </c:pt>
                <c:pt idx="21">
                  <c:v>3.4900000000000007</c:v>
                </c:pt>
              </c:numCache>
            </c:numRef>
          </c:xVal>
          <c:yVal>
            <c:numRef>
              <c:f>'Create Undulator Magnet'!$Q$3:$Q$24</c:f>
              <c:numCache>
                <c:formatCode>General</c:formatCode>
                <c:ptCount val="22"/>
                <c:pt idx="0">
                  <c:v>0</c:v>
                </c:pt>
                <c:pt idx="1">
                  <c:v>-0.86887212839991812</c:v>
                </c:pt>
                <c:pt idx="2">
                  <c:v>-1.1976575777196869</c:v>
                </c:pt>
                <c:pt idx="3">
                  <c:v>-1.4277025929364811</c:v>
                </c:pt>
                <c:pt idx="4">
                  <c:v>-1.6021210430971482</c:v>
                </c:pt>
                <c:pt idx="5">
                  <c:v>-1.7377442567998367</c:v>
                </c:pt>
                <c:pt idx="6">
                  <c:v>-1.8431561219267127</c:v>
                </c:pt>
                <c:pt idx="7">
                  <c:v>-1.9233304448274093</c:v>
                </c:pt>
                <c:pt idx="8">
                  <c:v>-1.9813332967103394</c:v>
                </c:pt>
                <c:pt idx="9">
                  <c:v>-2.0190763699660055</c:v>
                </c:pt>
                <c:pt idx="10">
                  <c:v>-2.0376857621591515</c:v>
                </c:pt>
                <c:pt idx="11">
                  <c:v>-2.0376857621591515</c:v>
                </c:pt>
                <c:pt idx="12">
                  <c:v>-2.0190763699660055</c:v>
                </c:pt>
                <c:pt idx="13">
                  <c:v>-1.981333296710339</c:v>
                </c:pt>
                <c:pt idx="14">
                  <c:v>-1.9233304448274091</c:v>
                </c:pt>
                <c:pt idx="15">
                  <c:v>-1.8431561219267125</c:v>
                </c:pt>
                <c:pt idx="16">
                  <c:v>-1.7377442567998365</c:v>
                </c:pt>
                <c:pt idx="17">
                  <c:v>-1.6021210430971478</c:v>
                </c:pt>
                <c:pt idx="18">
                  <c:v>-1.4277025929364804</c:v>
                </c:pt>
                <c:pt idx="19">
                  <c:v>-1.1976575777196861</c:v>
                </c:pt>
                <c:pt idx="20">
                  <c:v>-0.86887212839991701</c:v>
                </c:pt>
                <c:pt idx="2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AFCF-4CD1-9CF8-63E2CF8861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0070976"/>
        <c:axId val="550077536"/>
      </c:scatterChart>
      <c:valAx>
        <c:axId val="5500709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50077536"/>
        <c:crossesAt val="-1000"/>
        <c:crossBetween val="midCat"/>
        <c:majorUnit val="2"/>
      </c:valAx>
      <c:valAx>
        <c:axId val="55007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noFill/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50070976"/>
        <c:crossesAt val="-1000"/>
        <c:crossBetween val="midCat"/>
        <c:majorUnit val="2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'Create Undulator Magnet'!$G$4:$G$18</c:f>
              <c:numCache>
                <c:formatCode>General</c:formatCode>
                <c:ptCount val="15"/>
                <c:pt idx="0">
                  <c:v>5.5</c:v>
                </c:pt>
                <c:pt idx="1">
                  <c:v>22.5</c:v>
                </c:pt>
                <c:pt idx="2">
                  <c:v>22.5</c:v>
                </c:pt>
                <c:pt idx="3">
                  <c:v>16.5</c:v>
                </c:pt>
                <c:pt idx="4">
                  <c:v>22.5</c:v>
                </c:pt>
                <c:pt idx="5">
                  <c:v>22.5</c:v>
                </c:pt>
                <c:pt idx="6">
                  <c:v>21.5</c:v>
                </c:pt>
                <c:pt idx="7">
                  <c:v>-21.5</c:v>
                </c:pt>
                <c:pt idx="8">
                  <c:v>-22.5</c:v>
                </c:pt>
                <c:pt idx="9">
                  <c:v>-22.5</c:v>
                </c:pt>
                <c:pt idx="10">
                  <c:v>-16.5</c:v>
                </c:pt>
                <c:pt idx="11">
                  <c:v>-22.5</c:v>
                </c:pt>
                <c:pt idx="12">
                  <c:v>-22.5</c:v>
                </c:pt>
                <c:pt idx="13">
                  <c:v>-5.5</c:v>
                </c:pt>
                <c:pt idx="14">
                  <c:v>5.5</c:v>
                </c:pt>
              </c:numCache>
            </c:numRef>
          </c:xVal>
          <c:yVal>
            <c:numRef>
              <c:f>'Create Undulator Magnet'!$H$4:$H$18</c:f>
              <c:numCache>
                <c:formatCode>General</c:formatCode>
                <c:ptCount val="15"/>
                <c:pt idx="0">
                  <c:v>0</c:v>
                </c:pt>
                <c:pt idx="1">
                  <c:v>19</c:v>
                </c:pt>
                <c:pt idx="2">
                  <c:v>24</c:v>
                </c:pt>
                <c:pt idx="3">
                  <c:v>30</c:v>
                </c:pt>
                <c:pt idx="4">
                  <c:v>36</c:v>
                </c:pt>
                <c:pt idx="5">
                  <c:v>49</c:v>
                </c:pt>
                <c:pt idx="6">
                  <c:v>50</c:v>
                </c:pt>
                <c:pt idx="7">
                  <c:v>50</c:v>
                </c:pt>
                <c:pt idx="8">
                  <c:v>49</c:v>
                </c:pt>
                <c:pt idx="9">
                  <c:v>36</c:v>
                </c:pt>
                <c:pt idx="10">
                  <c:v>30</c:v>
                </c:pt>
                <c:pt idx="11">
                  <c:v>24</c:v>
                </c:pt>
                <c:pt idx="12">
                  <c:v>19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0E-4ED9-BF82-B9DC17670140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'Create Undulator Magnet'!$I$4:$I$24</c:f>
              <c:numCache>
                <c:formatCode>General</c:formatCode>
                <c:ptCount val="21"/>
                <c:pt idx="0">
                  <c:v>5.5</c:v>
                </c:pt>
                <c:pt idx="1">
                  <c:v>22.5</c:v>
                </c:pt>
                <c:pt idx="2">
                  <c:v>22.5</c:v>
                </c:pt>
                <c:pt idx="3">
                  <c:v>16.5</c:v>
                </c:pt>
                <c:pt idx="4">
                  <c:v>22.5</c:v>
                </c:pt>
                <c:pt idx="5">
                  <c:v>22.5</c:v>
                </c:pt>
                <c:pt idx="6">
                  <c:v>21.5</c:v>
                </c:pt>
                <c:pt idx="7">
                  <c:v>-21.5</c:v>
                </c:pt>
                <c:pt idx="8">
                  <c:v>-22.5</c:v>
                </c:pt>
                <c:pt idx="9">
                  <c:v>-22.5</c:v>
                </c:pt>
                <c:pt idx="10">
                  <c:v>-16.5</c:v>
                </c:pt>
                <c:pt idx="11">
                  <c:v>-22.5</c:v>
                </c:pt>
                <c:pt idx="12">
                  <c:v>-22.5</c:v>
                </c:pt>
                <c:pt idx="13">
                  <c:v>-5.5</c:v>
                </c:pt>
                <c:pt idx="14">
                  <c:v>5.5</c:v>
                </c:pt>
              </c:numCache>
            </c:numRef>
          </c:xVal>
          <c:yVal>
            <c:numRef>
              <c:f>'Create Undulator Magnet'!$J$4:$J$24</c:f>
              <c:numCache>
                <c:formatCode>General</c:formatCode>
                <c:ptCount val="21"/>
                <c:pt idx="0">
                  <c:v>0</c:v>
                </c:pt>
                <c:pt idx="1">
                  <c:v>19</c:v>
                </c:pt>
                <c:pt idx="2">
                  <c:v>24</c:v>
                </c:pt>
                <c:pt idx="3">
                  <c:v>30</c:v>
                </c:pt>
                <c:pt idx="4">
                  <c:v>36</c:v>
                </c:pt>
                <c:pt idx="5">
                  <c:v>49</c:v>
                </c:pt>
                <c:pt idx="6">
                  <c:v>50</c:v>
                </c:pt>
                <c:pt idx="7">
                  <c:v>50</c:v>
                </c:pt>
                <c:pt idx="8">
                  <c:v>49</c:v>
                </c:pt>
                <c:pt idx="9">
                  <c:v>36</c:v>
                </c:pt>
                <c:pt idx="10">
                  <c:v>30</c:v>
                </c:pt>
                <c:pt idx="11">
                  <c:v>24</c:v>
                </c:pt>
                <c:pt idx="12">
                  <c:v>19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700E-4ED9-BF82-B9DC176701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0070976"/>
        <c:axId val="550077536"/>
      </c:scatterChart>
      <c:valAx>
        <c:axId val="5500709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50077536"/>
        <c:crossesAt val="-1000"/>
        <c:crossBetween val="midCat"/>
      </c:valAx>
      <c:valAx>
        <c:axId val="55007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noFill/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50070976"/>
        <c:crossesAt val="-10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842105263157894"/>
          <c:y val="0.18132719882356191"/>
          <c:w val="0.8417397660818714"/>
          <c:h val="0.59116961761818598"/>
        </c:manualLayout>
      </c:layout>
      <c:scatterChart>
        <c:scatterStyle val="lineMarker"/>
        <c:varyColors val="0"/>
        <c:ser>
          <c:idx val="8"/>
          <c:order val="0"/>
          <c:tx>
            <c:v>1o harm</c:v>
          </c:tx>
          <c:marker>
            <c:symbol val="none"/>
          </c:marker>
          <c:xVal>
            <c:numRef>
              <c:f>'Electron beam and constants'!$K$5:$K$24</c:f>
              <c:numCache>
                <c:formatCode>0.0</c:formatCode>
                <c:ptCount val="20"/>
                <c:pt idx="0">
                  <c:v>88.789814220594806</c:v>
                </c:pt>
                <c:pt idx="1">
                  <c:v>97.805769762292854</c:v>
                </c:pt>
                <c:pt idx="2">
                  <c:v>108.23237470123031</c:v>
                </c:pt>
                <c:pt idx="3">
                  <c:v>120.37091067107384</c:v>
                </c:pt>
                <c:pt idx="4">
                  <c:v>134.60450607154465</c:v>
                </c:pt>
                <c:pt idx="5">
                  <c:v>151.42498527598556</c:v>
                </c:pt>
                <c:pt idx="6">
                  <c:v>171.46983473747989</c:v>
                </c:pt>
                <c:pt idx="7">
                  <c:v>195.57336995695437</c:v>
                </c:pt>
                <c:pt idx="8">
                  <c:v>224.83768508563927</c:v>
                </c:pt>
                <c:pt idx="9">
                  <c:v>260.73057580402542</c:v>
                </c:pt>
                <c:pt idx="10">
                  <c:v>305.21844026034</c:v>
                </c:pt>
                <c:pt idx="11">
                  <c:v>360.939340112379</c:v>
                </c:pt>
                <c:pt idx="12">
                  <c:v>431.40700217806557</c:v>
                </c:pt>
                <c:pt idx="13">
                  <c:v>521.18998820593822</c:v>
                </c:pt>
                <c:pt idx="14">
                  <c:v>635.88274409975054</c:v>
                </c:pt>
                <c:pt idx="15">
                  <c:v>781.37866000640838</c:v>
                </c:pt>
                <c:pt idx="16">
                  <c:v>961.35090126832881</c:v>
                </c:pt>
                <c:pt idx="17">
                  <c:v>1171.1549517944413</c:v>
                </c:pt>
                <c:pt idx="18">
                  <c:v>1387.4350491735283</c:v>
                </c:pt>
                <c:pt idx="19">
                  <c:v>1560.3244466416766</c:v>
                </c:pt>
              </c:numCache>
            </c:numRef>
          </c:xVal>
          <c:yVal>
            <c:numRef>
              <c:f>'Electron beam and constants'!$L$5:$L$24</c:f>
              <c:numCache>
                <c:formatCode>0.000000E+00</c:formatCode>
                <c:ptCount val="20"/>
                <c:pt idx="0">
                  <c:v>1016982932332184.8</c:v>
                </c:pt>
                <c:pt idx="1">
                  <c:v>1016421464980249.9</c:v>
                </c:pt>
                <c:pt idx="2">
                  <c:v>1015702856709704.5</c:v>
                </c:pt>
                <c:pt idx="3">
                  <c:v>1014772197475201.6</c:v>
                </c:pt>
                <c:pt idx="4">
                  <c:v>1013551311377319.1</c:v>
                </c:pt>
                <c:pt idx="5">
                  <c:v>1011927075348234.6</c:v>
                </c:pt>
                <c:pt idx="6">
                  <c:v>1009732928939531.9</c:v>
                </c:pt>
                <c:pt idx="7">
                  <c:v>1006719065215568.6</c:v>
                </c:pt>
                <c:pt idx="8">
                  <c:v>1002503490627353.1</c:v>
                </c:pt>
                <c:pt idx="9">
                  <c:v>996490287407566.63</c:v>
                </c:pt>
                <c:pt idx="10">
                  <c:v>987731136189025.25</c:v>
                </c:pt>
                <c:pt idx="11">
                  <c:v>974688808814473.25</c:v>
                </c:pt>
                <c:pt idx="12">
                  <c:v>954835137202566.75</c:v>
                </c:pt>
                <c:pt idx="13">
                  <c:v>923989029728975</c:v>
                </c:pt>
                <c:pt idx="14">
                  <c:v>875326277647764.25</c:v>
                </c:pt>
                <c:pt idx="15">
                  <c:v>798285671891032</c:v>
                </c:pt>
                <c:pt idx="16">
                  <c:v>678776701581203.75</c:v>
                </c:pt>
                <c:pt idx="17">
                  <c:v>505149237949744.31</c:v>
                </c:pt>
                <c:pt idx="18">
                  <c:v>287443684137014.63</c:v>
                </c:pt>
                <c:pt idx="19">
                  <c:v>85552059974130.609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993C-4569-9619-383B7BF8F036}"/>
            </c:ext>
          </c:extLst>
        </c:ser>
        <c:ser>
          <c:idx val="9"/>
          <c:order val="1"/>
          <c:tx>
            <c:v>3o harm</c:v>
          </c:tx>
          <c:marker>
            <c:symbol val="none"/>
          </c:marker>
          <c:xVal>
            <c:numRef>
              <c:f>'Electron beam and constants'!$N$5:$N$24</c:f>
              <c:numCache>
                <c:formatCode>0.0</c:formatCode>
                <c:ptCount val="20"/>
                <c:pt idx="0">
                  <c:v>266.36944266178443</c:v>
                </c:pt>
                <c:pt idx="1">
                  <c:v>293.41730928687861</c:v>
                </c:pt>
                <c:pt idx="2">
                  <c:v>324.69712410369095</c:v>
                </c:pt>
                <c:pt idx="3">
                  <c:v>361.11273201322155</c:v>
                </c:pt>
                <c:pt idx="4">
                  <c:v>403.81351821463397</c:v>
                </c:pt>
                <c:pt idx="5">
                  <c:v>454.27495582795666</c:v>
                </c:pt>
                <c:pt idx="6">
                  <c:v>514.40950421243963</c:v>
                </c:pt>
                <c:pt idx="7">
                  <c:v>586.7201098708631</c:v>
                </c:pt>
                <c:pt idx="8">
                  <c:v>674.51305525691794</c:v>
                </c:pt>
                <c:pt idx="9">
                  <c:v>782.19172741207626</c:v>
                </c:pt>
                <c:pt idx="10">
                  <c:v>915.65532078102001</c:v>
                </c:pt>
                <c:pt idx="11">
                  <c:v>1082.8180203371371</c:v>
                </c:pt>
                <c:pt idx="12">
                  <c:v>1294.2210065341967</c:v>
                </c:pt>
                <c:pt idx="13">
                  <c:v>1563.5699646178148</c:v>
                </c:pt>
                <c:pt idx="14">
                  <c:v>1907.6482322992517</c:v>
                </c:pt>
                <c:pt idx="15">
                  <c:v>2344.1359800192249</c:v>
                </c:pt>
                <c:pt idx="16">
                  <c:v>2884.0527038049868</c:v>
                </c:pt>
                <c:pt idx="17">
                  <c:v>3513.464855383324</c:v>
                </c:pt>
                <c:pt idx="18">
                  <c:v>4162.3051475205857</c:v>
                </c:pt>
                <c:pt idx="19">
                  <c:v>4680.9733399250299</c:v>
                </c:pt>
              </c:numCache>
            </c:numRef>
          </c:xVal>
          <c:yVal>
            <c:numRef>
              <c:f>'Electron beam and constants'!$O$5:$O$24</c:f>
              <c:numCache>
                <c:formatCode>0.000000E+00</c:formatCode>
                <c:ptCount val="20"/>
                <c:pt idx="0">
                  <c:v>662893943541591.5</c:v>
                </c:pt>
                <c:pt idx="1">
                  <c:v>661379921938685</c:v>
                </c:pt>
                <c:pt idx="2">
                  <c:v>659452648863151.5</c:v>
                </c:pt>
                <c:pt idx="3">
                  <c:v>656972818160159.88</c:v>
                </c:pt>
                <c:pt idx="4">
                  <c:v>653745101297383</c:v>
                </c:pt>
                <c:pt idx="5">
                  <c:v>649492130235328.88</c:v>
                </c:pt>
                <c:pt idx="6">
                  <c:v>643815062995310.88</c:v>
                </c:pt>
                <c:pt idx="7">
                  <c:v>636133532934725.38</c:v>
                </c:pt>
                <c:pt idx="8">
                  <c:v>625594400234861.38</c:v>
                </c:pt>
                <c:pt idx="9">
                  <c:v>610935170888191.63</c:v>
                </c:pt>
                <c:pt idx="10">
                  <c:v>590287825093394.5</c:v>
                </c:pt>
                <c:pt idx="11">
                  <c:v>560924591554717.75</c:v>
                </c:pt>
                <c:pt idx="12">
                  <c:v>519015767369222.06</c:v>
                </c:pt>
                <c:pt idx="13">
                  <c:v>459683665926572.5</c:v>
                </c:pt>
                <c:pt idx="14">
                  <c:v>378165446489921.13</c:v>
                </c:pt>
                <c:pt idx="15">
                  <c:v>273755360082729.38</c:v>
                </c:pt>
                <c:pt idx="16">
                  <c:v>157848410864346.47</c:v>
                </c:pt>
                <c:pt idx="17">
                  <c:v>59950457513195.047</c:v>
                </c:pt>
                <c:pt idx="18">
                  <c:v>10086245405965.898</c:v>
                </c:pt>
                <c:pt idx="19">
                  <c:v>246288665007.89658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993C-4569-9619-383B7BF8F036}"/>
            </c:ext>
          </c:extLst>
        </c:ser>
        <c:ser>
          <c:idx val="10"/>
          <c:order val="2"/>
          <c:tx>
            <c:v>5o harm</c:v>
          </c:tx>
          <c:marker>
            <c:symbol val="none"/>
          </c:marker>
          <c:xVal>
            <c:numRef>
              <c:f>'Electron beam and constants'!$Q$5:$Q$24</c:f>
              <c:numCache>
                <c:formatCode>0.0</c:formatCode>
                <c:ptCount val="20"/>
                <c:pt idx="0">
                  <c:v>443.94907110297396</c:v>
                </c:pt>
                <c:pt idx="1">
                  <c:v>489.02884881146429</c:v>
                </c:pt>
                <c:pt idx="2">
                  <c:v>541.16187350615155</c:v>
                </c:pt>
                <c:pt idx="3">
                  <c:v>601.85455335536915</c:v>
                </c:pt>
                <c:pt idx="4">
                  <c:v>673.02253035772333</c:v>
                </c:pt>
                <c:pt idx="5">
                  <c:v>757.12492637992784</c:v>
                </c:pt>
                <c:pt idx="6">
                  <c:v>857.34917368739934</c:v>
                </c:pt>
                <c:pt idx="7">
                  <c:v>977.86684978477172</c:v>
                </c:pt>
                <c:pt idx="8">
                  <c:v>1124.1884254281963</c:v>
                </c:pt>
                <c:pt idx="9">
                  <c:v>1303.6528790201271</c:v>
                </c:pt>
                <c:pt idx="10">
                  <c:v>1526.0922013016998</c:v>
                </c:pt>
                <c:pt idx="11">
                  <c:v>1804.6967005618949</c:v>
                </c:pt>
                <c:pt idx="12">
                  <c:v>2157.0350108903276</c:v>
                </c:pt>
                <c:pt idx="13">
                  <c:v>2605.9499410296912</c:v>
                </c:pt>
                <c:pt idx="14">
                  <c:v>3179.4137204987524</c:v>
                </c:pt>
                <c:pt idx="15">
                  <c:v>3906.8933000320408</c:v>
                </c:pt>
                <c:pt idx="16">
                  <c:v>4806.7545063416437</c:v>
                </c:pt>
                <c:pt idx="17">
                  <c:v>5855.7747589722048</c:v>
                </c:pt>
                <c:pt idx="18">
                  <c:v>6937.1752458676419</c:v>
                </c:pt>
                <c:pt idx="19">
                  <c:v>7801.6222332083826</c:v>
                </c:pt>
              </c:numCache>
            </c:numRef>
          </c:xVal>
          <c:yVal>
            <c:numRef>
              <c:f>'Electron beam and constants'!$R$5:$R$24</c:f>
              <c:numCache>
                <c:formatCode>0.000000E+00</c:formatCode>
                <c:ptCount val="20"/>
                <c:pt idx="0">
                  <c:v>542281415353117.5</c:v>
                </c:pt>
                <c:pt idx="1">
                  <c:v>539887188746768.5</c:v>
                </c:pt>
                <c:pt idx="2">
                  <c:v>536854060304518.44</c:v>
                </c:pt>
                <c:pt idx="3">
                  <c:v>532973881766715.75</c:v>
                </c:pt>
                <c:pt idx="4">
                  <c:v>527959117857700</c:v>
                </c:pt>
                <c:pt idx="5">
                  <c:v>521409056639937.13</c:v>
                </c:pt>
                <c:pt idx="6">
                  <c:v>512761186750040.25</c:v>
                </c:pt>
                <c:pt idx="7">
                  <c:v>501222375512578.94</c:v>
                </c:pt>
                <c:pt idx="8">
                  <c:v>485675157346896.88</c:v>
                </c:pt>
                <c:pt idx="9">
                  <c:v>464560905545072.88</c:v>
                </c:pt>
                <c:pt idx="10">
                  <c:v>435764788999183.13</c:v>
                </c:pt>
                <c:pt idx="11">
                  <c:v>396593197060107.13</c:v>
                </c:pt>
                <c:pt idx="12">
                  <c:v>344087299329326.75</c:v>
                </c:pt>
                <c:pt idx="13">
                  <c:v>276225718133561.06</c:v>
                </c:pt>
                <c:pt idx="14">
                  <c:v>194827745069022.59</c:v>
                </c:pt>
                <c:pt idx="15">
                  <c:v>110130223149235.33</c:v>
                </c:pt>
                <c:pt idx="16">
                  <c:v>42206543635286.734</c:v>
                </c:pt>
                <c:pt idx="17">
                  <c:v>7996385220470.7227</c:v>
                </c:pt>
                <c:pt idx="18">
                  <c:v>388805539850.44574</c:v>
                </c:pt>
                <c:pt idx="19">
                  <c:v>765122353.45450115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993C-4569-9619-383B7BF8F036}"/>
            </c:ext>
          </c:extLst>
        </c:ser>
        <c:ser>
          <c:idx val="11"/>
          <c:order val="3"/>
          <c:tx>
            <c:v>7o harm</c:v>
          </c:tx>
          <c:marker>
            <c:symbol val="none"/>
          </c:marker>
          <c:xVal>
            <c:numRef>
              <c:f>'Electron beam and constants'!$T$5:$T$24</c:f>
              <c:numCache>
                <c:formatCode>0.0</c:formatCode>
                <c:ptCount val="20"/>
                <c:pt idx="0">
                  <c:v>621.52869954416371</c:v>
                </c:pt>
                <c:pt idx="1">
                  <c:v>684.64038833605002</c:v>
                </c:pt>
                <c:pt idx="2">
                  <c:v>757.62662290861226</c:v>
                </c:pt>
                <c:pt idx="3">
                  <c:v>842.59637469751704</c:v>
                </c:pt>
                <c:pt idx="4">
                  <c:v>942.23154250081257</c:v>
                </c:pt>
                <c:pt idx="5">
                  <c:v>1059.9748969318989</c:v>
                </c:pt>
                <c:pt idx="6">
                  <c:v>1200.2888431623594</c:v>
                </c:pt>
                <c:pt idx="7">
                  <c:v>1369.0135896986806</c:v>
                </c:pt>
                <c:pt idx="8">
                  <c:v>1573.8637955994752</c:v>
                </c:pt>
                <c:pt idx="9">
                  <c:v>1825.1140306281782</c:v>
                </c:pt>
                <c:pt idx="10">
                  <c:v>2136.5290818223802</c:v>
                </c:pt>
                <c:pt idx="11">
                  <c:v>2526.5753807866536</c:v>
                </c:pt>
                <c:pt idx="12">
                  <c:v>3019.8490152464592</c:v>
                </c:pt>
                <c:pt idx="13">
                  <c:v>3648.3299174415679</c:v>
                </c:pt>
                <c:pt idx="14">
                  <c:v>4451.1792086982541</c:v>
                </c:pt>
                <c:pt idx="15">
                  <c:v>5469.6506200448584</c:v>
                </c:pt>
                <c:pt idx="16">
                  <c:v>6729.4563088783025</c:v>
                </c:pt>
                <c:pt idx="17">
                  <c:v>8198.0846625610884</c:v>
                </c:pt>
                <c:pt idx="18">
                  <c:v>9712.0453442146991</c:v>
                </c:pt>
                <c:pt idx="19">
                  <c:v>10922.271126491738</c:v>
                </c:pt>
              </c:numCache>
            </c:numRef>
          </c:xVal>
          <c:yVal>
            <c:numRef>
              <c:f>'Electron beam and constants'!$U$5:$U$24</c:f>
              <c:numCache>
                <c:formatCode>0.000000E+00</c:formatCode>
                <c:ptCount val="20"/>
                <c:pt idx="0">
                  <c:v>474043268651490.88</c:v>
                </c:pt>
                <c:pt idx="1">
                  <c:v>470827338423204.5</c:v>
                </c:pt>
                <c:pt idx="2">
                  <c:v>466771921295484.75</c:v>
                </c:pt>
                <c:pt idx="3">
                  <c:v>461612811232585</c:v>
                </c:pt>
                <c:pt idx="4">
                  <c:v>454990608339757.56</c:v>
                </c:pt>
                <c:pt idx="5">
                  <c:v>446414192916709.25</c:v>
                </c:pt>
                <c:pt idx="6">
                  <c:v>435211594682718.31</c:v>
                </c:pt>
                <c:pt idx="7">
                  <c:v>420467399908228.5</c:v>
                </c:pt>
                <c:pt idx="8">
                  <c:v>400952216461604.06</c:v>
                </c:pt>
                <c:pt idx="9">
                  <c:v>375068215503261.94</c:v>
                </c:pt>
                <c:pt idx="10">
                  <c:v>340875697163335.94</c:v>
                </c:pt>
                <c:pt idx="11">
                  <c:v>296371057484545.69</c:v>
                </c:pt>
                <c:pt idx="12">
                  <c:v>240329115789670</c:v>
                </c:pt>
                <c:pt idx="13">
                  <c:v>174168661399819.59</c:v>
                </c:pt>
                <c:pt idx="14">
                  <c:v>104806696536186.78</c:v>
                </c:pt>
                <c:pt idx="15">
                  <c:v>45995492282104.648</c:v>
                </c:pt>
                <c:pt idx="16">
                  <c:v>11641059872969.123</c:v>
                </c:pt>
                <c:pt idx="17">
                  <c:v>1092894945171.1027</c:v>
                </c:pt>
                <c:pt idx="18">
                  <c:v>15263247878.87216</c:v>
                </c:pt>
                <c:pt idx="19">
                  <c:v>2409575.9369407119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993C-4569-9619-383B7BF8F036}"/>
            </c:ext>
          </c:extLst>
        </c:ser>
        <c:ser>
          <c:idx val="12"/>
          <c:order val="4"/>
          <c:tx>
            <c:v>9o harm</c:v>
          </c:tx>
          <c:marker>
            <c:symbol val="none"/>
          </c:marker>
          <c:xVal>
            <c:numRef>
              <c:f>'Electron beam and constants'!$W$5:$W$24</c:f>
              <c:numCache>
                <c:formatCode>0.0</c:formatCode>
                <c:ptCount val="20"/>
                <c:pt idx="0">
                  <c:v>799.10832798535341</c:v>
                </c:pt>
                <c:pt idx="1">
                  <c:v>880.25192786063587</c:v>
                </c:pt>
                <c:pt idx="2">
                  <c:v>974.09137231107297</c:v>
                </c:pt>
                <c:pt idx="3">
                  <c:v>1083.3381960396648</c:v>
                </c:pt>
                <c:pt idx="4">
                  <c:v>1211.440554643902</c:v>
                </c:pt>
                <c:pt idx="5">
                  <c:v>1362.8248674838703</c:v>
                </c:pt>
                <c:pt idx="6">
                  <c:v>1543.2285126373192</c:v>
                </c:pt>
                <c:pt idx="7">
                  <c:v>1760.1603296125895</c:v>
                </c:pt>
                <c:pt idx="8">
                  <c:v>2023.5391657707539</c:v>
                </c:pt>
                <c:pt idx="9">
                  <c:v>2346.575182236229</c:v>
                </c:pt>
                <c:pt idx="10">
                  <c:v>2746.9659623430603</c:v>
                </c:pt>
                <c:pt idx="11">
                  <c:v>3248.4540610114123</c:v>
                </c:pt>
                <c:pt idx="12">
                  <c:v>3882.6630196025903</c:v>
                </c:pt>
                <c:pt idx="13">
                  <c:v>4690.7098938534455</c:v>
                </c:pt>
                <c:pt idx="14">
                  <c:v>5722.9446968977554</c:v>
                </c:pt>
                <c:pt idx="15">
                  <c:v>7032.4079400576757</c:v>
                </c:pt>
                <c:pt idx="16">
                  <c:v>8652.1581114149612</c:v>
                </c:pt>
                <c:pt idx="17">
                  <c:v>10540.394566149973</c:v>
                </c:pt>
                <c:pt idx="18">
                  <c:v>12486.915442561756</c:v>
                </c:pt>
                <c:pt idx="19">
                  <c:v>14042.920019775092</c:v>
                </c:pt>
              </c:numCache>
            </c:numRef>
          </c:xVal>
          <c:yVal>
            <c:numRef>
              <c:f>'Electron beam and constants'!$X$5:$X$24</c:f>
              <c:numCache>
                <c:formatCode>0.000000E+00</c:formatCode>
                <c:ptCount val="20"/>
                <c:pt idx="0">
                  <c:v>427612123035382.94</c:v>
                </c:pt>
                <c:pt idx="1">
                  <c:v>423626879476261.19</c:v>
                </c:pt>
                <c:pt idx="2">
                  <c:v>418623872323270.06</c:v>
                </c:pt>
                <c:pt idx="3">
                  <c:v>412293997763015.75</c:v>
                </c:pt>
                <c:pt idx="4">
                  <c:v>404223503967785.06</c:v>
                </c:pt>
                <c:pt idx="5">
                  <c:v>393858683436130.75</c:v>
                </c:pt>
                <c:pt idx="6">
                  <c:v>380462704206267.94</c:v>
                </c:pt>
                <c:pt idx="7">
                  <c:v>363069604223119.19</c:v>
                </c:pt>
                <c:pt idx="8">
                  <c:v>340452470602614.75</c:v>
                </c:pt>
                <c:pt idx="9">
                  <c:v>311150704671623</c:v>
                </c:pt>
                <c:pt idx="10">
                  <c:v>273656761381141.09</c:v>
                </c:pt>
                <c:pt idx="11">
                  <c:v>226956176415192.97</c:v>
                </c:pt>
                <c:pt idx="12">
                  <c:v>171698061190831.81</c:v>
                </c:pt>
                <c:pt idx="13">
                  <c:v>112085161310679.28</c:v>
                </c:pt>
                <c:pt idx="14">
                  <c:v>57398346190543.047</c:v>
                </c:pt>
                <c:pt idx="15">
                  <c:v>19501729194915.57</c:v>
                </c:pt>
                <c:pt idx="16">
                  <c:v>3249883469191.4019</c:v>
                </c:pt>
                <c:pt idx="17">
                  <c:v>150753086413.37622</c:v>
                </c:pt>
                <c:pt idx="18">
                  <c:v>603187093.43156946</c:v>
                </c:pt>
                <c:pt idx="19">
                  <c:v>7624.9287865608148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993C-4569-9619-383B7BF8F036}"/>
            </c:ext>
          </c:extLst>
        </c:ser>
        <c:ser>
          <c:idx val="13"/>
          <c:order val="5"/>
          <c:tx>
            <c:v>11° harm</c:v>
          </c:tx>
          <c:marker>
            <c:symbol val="none"/>
          </c:marker>
          <c:xVal>
            <c:numRef>
              <c:f>'Electron beam and constants'!$Z$5:$Z$24</c:f>
              <c:numCache>
                <c:formatCode>0.0</c:formatCode>
                <c:ptCount val="20"/>
                <c:pt idx="0">
                  <c:v>976.68795642654288</c:v>
                </c:pt>
                <c:pt idx="1">
                  <c:v>1075.8634673852216</c:v>
                </c:pt>
                <c:pt idx="2">
                  <c:v>1190.5561217135335</c:v>
                </c:pt>
                <c:pt idx="3">
                  <c:v>1324.0800173818122</c:v>
                </c:pt>
                <c:pt idx="4">
                  <c:v>1480.6495667869913</c:v>
                </c:pt>
                <c:pt idx="5">
                  <c:v>1665.674838035841</c:v>
                </c:pt>
                <c:pt idx="6">
                  <c:v>1886.1681821122786</c:v>
                </c:pt>
                <c:pt idx="7">
                  <c:v>2151.3070695264978</c:v>
                </c:pt>
                <c:pt idx="8">
                  <c:v>2473.2145359420319</c:v>
                </c:pt>
                <c:pt idx="9">
                  <c:v>2868.0363338442794</c:v>
                </c:pt>
                <c:pt idx="10">
                  <c:v>3357.4028428637398</c:v>
                </c:pt>
                <c:pt idx="11">
                  <c:v>3970.3327412361696</c:v>
                </c:pt>
                <c:pt idx="12">
                  <c:v>4745.4770239587206</c:v>
                </c:pt>
                <c:pt idx="13">
                  <c:v>5733.0898702653203</c:v>
                </c:pt>
                <c:pt idx="14">
                  <c:v>6994.7101850972558</c:v>
                </c:pt>
                <c:pt idx="15">
                  <c:v>8595.1652600704911</c:v>
                </c:pt>
                <c:pt idx="16">
                  <c:v>10574.859913951617</c:v>
                </c:pt>
                <c:pt idx="17">
                  <c:v>12882.704469738852</c:v>
                </c:pt>
                <c:pt idx="18">
                  <c:v>15261.785540908813</c:v>
                </c:pt>
                <c:pt idx="19">
                  <c:v>17163.568913058443</c:v>
                </c:pt>
              </c:numCache>
            </c:numRef>
          </c:xVal>
          <c:yVal>
            <c:numRef>
              <c:f>'Electron beam and constants'!$AA$5:$AA$24</c:f>
              <c:numCache>
                <c:formatCode>0.000000E+00</c:formatCode>
                <c:ptCount val="20"/>
                <c:pt idx="0">
                  <c:v>392806167595845</c:v>
                </c:pt>
                <c:pt idx="1">
                  <c:v>388099822809209.44</c:v>
                </c:pt>
                <c:pt idx="2">
                  <c:v>382217716272694.63</c:v>
                </c:pt>
                <c:pt idx="3">
                  <c:v>374815736244943.94</c:v>
                </c:pt>
                <c:pt idx="4">
                  <c:v>365441045021690.25</c:v>
                </c:pt>
                <c:pt idx="5">
                  <c:v>353501073841420.81</c:v>
                </c:pt>
                <c:pt idx="6">
                  <c:v>338230965097959.75</c:v>
                </c:pt>
                <c:pt idx="7">
                  <c:v>318670902960391.31</c:v>
                </c:pt>
                <c:pt idx="8">
                  <c:v>293681145649704.44</c:v>
                </c:pt>
                <c:pt idx="9">
                  <c:v>262056184852021.16</c:v>
                </c:pt>
                <c:pt idx="10">
                  <c:v>222855034879438.19</c:v>
                </c:pt>
                <c:pt idx="11">
                  <c:v>176126483720763.22</c:v>
                </c:pt>
                <c:pt idx="12">
                  <c:v>124163019841167.47</c:v>
                </c:pt>
                <c:pt idx="13">
                  <c:v>72913280704006.406</c:v>
                </c:pt>
                <c:pt idx="14">
                  <c:v>31727364394053.504</c:v>
                </c:pt>
                <c:pt idx="15">
                  <c:v>8332096445357.7324</c:v>
                </c:pt>
                <c:pt idx="16">
                  <c:v>912764079846.23364</c:v>
                </c:pt>
                <c:pt idx="17">
                  <c:v>20888285696.503025</c:v>
                </c:pt>
                <c:pt idx="18">
                  <c:v>23913050.287944734</c:v>
                </c:pt>
                <c:pt idx="19">
                  <c:v>24.182610890257806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993C-4569-9619-383B7BF8F036}"/>
            </c:ext>
          </c:extLst>
        </c:ser>
        <c:ser>
          <c:idx val="14"/>
          <c:order val="6"/>
          <c:tx>
            <c:v>13° harm</c:v>
          </c:tx>
          <c:marker>
            <c:symbol val="none"/>
          </c:marker>
          <c:xVal>
            <c:numRef>
              <c:f>'Electron beam and constants'!$AC$5:$AC$24</c:f>
              <c:numCache>
                <c:formatCode>0.0</c:formatCode>
                <c:ptCount val="20"/>
                <c:pt idx="0">
                  <c:v>1154.2675848677325</c:v>
                </c:pt>
                <c:pt idx="1">
                  <c:v>1271.4750069098072</c:v>
                </c:pt>
                <c:pt idx="2">
                  <c:v>1407.0208711159939</c:v>
                </c:pt>
                <c:pt idx="3">
                  <c:v>1564.8218387239599</c:v>
                </c:pt>
                <c:pt idx="4">
                  <c:v>1749.8585789300803</c:v>
                </c:pt>
                <c:pt idx="5">
                  <c:v>1968.5248085878122</c:v>
                </c:pt>
                <c:pt idx="6">
                  <c:v>2229.1078515872382</c:v>
                </c:pt>
                <c:pt idx="7">
                  <c:v>2542.4538094404065</c:v>
                </c:pt>
                <c:pt idx="8">
                  <c:v>2922.8899061133106</c:v>
                </c:pt>
                <c:pt idx="9">
                  <c:v>3389.4974854523298</c:v>
                </c:pt>
                <c:pt idx="10">
                  <c:v>3967.8397233844198</c:v>
                </c:pt>
                <c:pt idx="11">
                  <c:v>4692.2114214609273</c:v>
                </c:pt>
                <c:pt idx="12">
                  <c:v>5608.2910283148512</c:v>
                </c:pt>
                <c:pt idx="13">
                  <c:v>6775.469846677197</c:v>
                </c:pt>
                <c:pt idx="14">
                  <c:v>8266.4756732967562</c:v>
                </c:pt>
                <c:pt idx="15">
                  <c:v>10157.922580083308</c:v>
                </c:pt>
                <c:pt idx="16">
                  <c:v>12497.561716488275</c:v>
                </c:pt>
                <c:pt idx="17">
                  <c:v>15225.014373327736</c:v>
                </c:pt>
                <c:pt idx="18">
                  <c:v>18036.65563925587</c:v>
                </c:pt>
                <c:pt idx="19">
                  <c:v>20284.217806341796</c:v>
                </c:pt>
              </c:numCache>
            </c:numRef>
          </c:xVal>
          <c:yVal>
            <c:numRef>
              <c:f>'Electron beam and constants'!$AD$5:$AD$24</c:f>
              <c:numCache>
                <c:formatCode>0.000000E+00</c:formatCode>
                <c:ptCount val="20"/>
                <c:pt idx="0">
                  <c:v>365113622235144.06</c:v>
                </c:pt>
                <c:pt idx="1">
                  <c:v>359731123680898.56</c:v>
                </c:pt>
                <c:pt idx="2">
                  <c:v>353033476498889.81</c:v>
                </c:pt>
                <c:pt idx="3">
                  <c:v>344650374068312.69</c:v>
                </c:pt>
                <c:pt idx="4">
                  <c:v>334103226751412.94</c:v>
                </c:pt>
                <c:pt idx="5">
                  <c:v>320780848792320.88</c:v>
                </c:pt>
                <c:pt idx="6">
                  <c:v>303920731513203.31</c:v>
                </c:pt>
                <c:pt idx="7">
                  <c:v>282613482435393.56</c:v>
                </c:pt>
                <c:pt idx="8">
                  <c:v>255867219632704.88</c:v>
                </c:pt>
                <c:pt idx="9">
                  <c:v>222803229969416.69</c:v>
                </c:pt>
                <c:pt idx="10">
                  <c:v>183098482183829.47</c:v>
                </c:pt>
                <c:pt idx="11">
                  <c:v>137800268465234.41</c:v>
                </c:pt>
                <c:pt idx="12">
                  <c:v>90450597329060.703</c:v>
                </c:pt>
                <c:pt idx="13">
                  <c:v>47737898737560.219</c:v>
                </c:pt>
                <c:pt idx="14">
                  <c:v>17633524036262.242</c:v>
                </c:pt>
                <c:pt idx="15">
                  <c:v>3575715128578.7046</c:v>
                </c:pt>
                <c:pt idx="16">
                  <c:v>257242652247.93546</c:v>
                </c:pt>
                <c:pt idx="17">
                  <c:v>2901590050.2329326</c:v>
                </c:pt>
                <c:pt idx="18">
                  <c:v>949690.77595332265</c:v>
                </c:pt>
                <c:pt idx="19">
                  <c:v>7.678950611768029E-2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993C-4569-9619-383B7BF8F036}"/>
            </c:ext>
          </c:extLst>
        </c:ser>
        <c:ser>
          <c:idx val="15"/>
          <c:order val="7"/>
          <c:tx>
            <c:v>15° harm</c:v>
          </c:tx>
          <c:marker>
            <c:symbol val="none"/>
          </c:marker>
          <c:xVal>
            <c:numRef>
              <c:f>'Electron beam and constants'!$AF$5:$AF$24</c:f>
              <c:numCache>
                <c:formatCode>0.0</c:formatCode>
                <c:ptCount val="20"/>
                <c:pt idx="0">
                  <c:v>1331.8472133089222</c:v>
                </c:pt>
                <c:pt idx="1">
                  <c:v>1467.0865464343929</c:v>
                </c:pt>
                <c:pt idx="2">
                  <c:v>1623.4856205184549</c:v>
                </c:pt>
                <c:pt idx="3">
                  <c:v>1805.5636600661076</c:v>
                </c:pt>
                <c:pt idx="4">
                  <c:v>2019.06759107317</c:v>
                </c:pt>
                <c:pt idx="5">
                  <c:v>2271.3747791397836</c:v>
                </c:pt>
                <c:pt idx="6">
                  <c:v>2572.0475210621985</c:v>
                </c:pt>
                <c:pt idx="7">
                  <c:v>2933.6005493543157</c:v>
                </c:pt>
                <c:pt idx="8">
                  <c:v>3372.5652762845898</c:v>
                </c:pt>
                <c:pt idx="9">
                  <c:v>3910.9586370603815</c:v>
                </c:pt>
                <c:pt idx="10">
                  <c:v>4578.2766039051003</c:v>
                </c:pt>
                <c:pt idx="11">
                  <c:v>5414.090101685686</c:v>
                </c:pt>
                <c:pt idx="12">
                  <c:v>6471.1050326709837</c:v>
                </c:pt>
                <c:pt idx="13">
                  <c:v>7817.8498230890737</c:v>
                </c:pt>
                <c:pt idx="14">
                  <c:v>9538.2411614962584</c:v>
                </c:pt>
                <c:pt idx="15">
                  <c:v>11720.679900096124</c:v>
                </c:pt>
                <c:pt idx="16">
                  <c:v>14420.263519024935</c:v>
                </c:pt>
                <c:pt idx="17">
                  <c:v>17567.324276916617</c:v>
                </c:pt>
                <c:pt idx="18">
                  <c:v>20811.525737602926</c:v>
                </c:pt>
                <c:pt idx="19">
                  <c:v>23404.866699625152</c:v>
                </c:pt>
              </c:numCache>
            </c:numRef>
          </c:xVal>
          <c:yVal>
            <c:numRef>
              <c:f>'Electron beam and constants'!$AG$5:$AG$24</c:f>
              <c:numCache>
                <c:formatCode>0.000000E+00</c:formatCode>
                <c:ptCount val="20"/>
                <c:pt idx="0">
                  <c:v>342178489856452.38</c:v>
                </c:pt>
                <c:pt idx="1">
                  <c:v>336162033764539.5</c:v>
                </c:pt>
                <c:pt idx="2">
                  <c:v>328708209105871.31</c:v>
                </c:pt>
                <c:pt idx="3">
                  <c:v>319428388790006.19</c:v>
                </c:pt>
                <c:pt idx="4">
                  <c:v>307829945347495.56</c:v>
                </c:pt>
                <c:pt idx="5">
                  <c:v>293300216945922.38</c:v>
                </c:pt>
                <c:pt idx="6">
                  <c:v>275103812010559.88</c:v>
                </c:pt>
                <c:pt idx="7">
                  <c:v>252415668451068.94</c:v>
                </c:pt>
                <c:pt idx="8">
                  <c:v>224433200679655.94</c:v>
                </c:pt>
                <c:pt idx="9">
                  <c:v>190641422572068.72</c:v>
                </c:pt>
                <c:pt idx="10">
                  <c:v>151328853952905.13</c:v>
                </c:pt>
                <c:pt idx="11">
                  <c:v>108399111493047.14</c:v>
                </c:pt>
                <c:pt idx="12">
                  <c:v>66210478519868.063</c:v>
                </c:pt>
                <c:pt idx="13">
                  <c:v>31386037338472.371</c:v>
                </c:pt>
                <c:pt idx="14">
                  <c:v>9834777418198.9453</c:v>
                </c:pt>
                <c:pt idx="15">
                  <c:v>1538836293580.3372</c:v>
                </c:pt>
                <c:pt idx="16">
                  <c:v>72654451075.732071</c:v>
                </c:pt>
                <c:pt idx="17">
                  <c:v>403690061.4206906</c:v>
                </c:pt>
                <c:pt idx="18">
                  <c:v>37757.006927774702</c:v>
                </c:pt>
                <c:pt idx="19">
                  <c:v>2.4401833188510217E-4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993C-4569-9619-383B7BF8F036}"/>
            </c:ext>
          </c:extLst>
        </c:ser>
        <c:ser>
          <c:idx val="0"/>
          <c:order val="8"/>
          <c:tx>
            <c:v>1o harm</c:v>
          </c:tx>
          <c:marker>
            <c:symbol val="none"/>
          </c:marker>
          <c:xVal>
            <c:numRef>
              <c:f>'Electron beam and constants'!$K$5:$K$24</c:f>
              <c:numCache>
                <c:formatCode>0.0</c:formatCode>
                <c:ptCount val="20"/>
                <c:pt idx="0">
                  <c:v>88.789814220594806</c:v>
                </c:pt>
                <c:pt idx="1">
                  <c:v>97.805769762292854</c:v>
                </c:pt>
                <c:pt idx="2">
                  <c:v>108.23237470123031</c:v>
                </c:pt>
                <c:pt idx="3">
                  <c:v>120.37091067107384</c:v>
                </c:pt>
                <c:pt idx="4">
                  <c:v>134.60450607154465</c:v>
                </c:pt>
                <c:pt idx="5">
                  <c:v>151.42498527598556</c:v>
                </c:pt>
                <c:pt idx="6">
                  <c:v>171.46983473747989</c:v>
                </c:pt>
                <c:pt idx="7">
                  <c:v>195.57336995695437</c:v>
                </c:pt>
                <c:pt idx="8">
                  <c:v>224.83768508563927</c:v>
                </c:pt>
                <c:pt idx="9">
                  <c:v>260.73057580402542</c:v>
                </c:pt>
                <c:pt idx="10">
                  <c:v>305.21844026034</c:v>
                </c:pt>
                <c:pt idx="11">
                  <c:v>360.939340112379</c:v>
                </c:pt>
                <c:pt idx="12">
                  <c:v>431.40700217806557</c:v>
                </c:pt>
                <c:pt idx="13">
                  <c:v>521.18998820593822</c:v>
                </c:pt>
                <c:pt idx="14">
                  <c:v>635.88274409975054</c:v>
                </c:pt>
                <c:pt idx="15">
                  <c:v>781.37866000640838</c:v>
                </c:pt>
                <c:pt idx="16">
                  <c:v>961.35090126832881</c:v>
                </c:pt>
                <c:pt idx="17">
                  <c:v>1171.1549517944413</c:v>
                </c:pt>
                <c:pt idx="18">
                  <c:v>1387.4350491735283</c:v>
                </c:pt>
                <c:pt idx="19">
                  <c:v>1560.3244466416766</c:v>
                </c:pt>
              </c:numCache>
            </c:numRef>
          </c:xVal>
          <c:yVal>
            <c:numRef>
              <c:f>'Electron beam and constants'!$L$5:$L$24</c:f>
              <c:numCache>
                <c:formatCode>0.000000E+00</c:formatCode>
                <c:ptCount val="20"/>
                <c:pt idx="0">
                  <c:v>1016982932332184.8</c:v>
                </c:pt>
                <c:pt idx="1">
                  <c:v>1016421464980249.9</c:v>
                </c:pt>
                <c:pt idx="2">
                  <c:v>1015702856709704.5</c:v>
                </c:pt>
                <c:pt idx="3">
                  <c:v>1014772197475201.6</c:v>
                </c:pt>
                <c:pt idx="4">
                  <c:v>1013551311377319.1</c:v>
                </c:pt>
                <c:pt idx="5">
                  <c:v>1011927075348234.6</c:v>
                </c:pt>
                <c:pt idx="6">
                  <c:v>1009732928939531.9</c:v>
                </c:pt>
                <c:pt idx="7">
                  <c:v>1006719065215568.6</c:v>
                </c:pt>
                <c:pt idx="8">
                  <c:v>1002503490627353.1</c:v>
                </c:pt>
                <c:pt idx="9">
                  <c:v>996490287407566.63</c:v>
                </c:pt>
                <c:pt idx="10">
                  <c:v>987731136189025.25</c:v>
                </c:pt>
                <c:pt idx="11">
                  <c:v>974688808814473.25</c:v>
                </c:pt>
                <c:pt idx="12">
                  <c:v>954835137202566.75</c:v>
                </c:pt>
                <c:pt idx="13">
                  <c:v>923989029728975</c:v>
                </c:pt>
                <c:pt idx="14">
                  <c:v>875326277647764.25</c:v>
                </c:pt>
                <c:pt idx="15">
                  <c:v>798285671891032</c:v>
                </c:pt>
                <c:pt idx="16">
                  <c:v>678776701581203.75</c:v>
                </c:pt>
                <c:pt idx="17">
                  <c:v>505149237949744.31</c:v>
                </c:pt>
                <c:pt idx="18">
                  <c:v>287443684137014.63</c:v>
                </c:pt>
                <c:pt idx="19">
                  <c:v>85552059974130.609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993C-4569-9619-383B7BF8F036}"/>
            </c:ext>
          </c:extLst>
        </c:ser>
        <c:ser>
          <c:idx val="1"/>
          <c:order val="9"/>
          <c:tx>
            <c:v>3o harm</c:v>
          </c:tx>
          <c:marker>
            <c:symbol val="none"/>
          </c:marker>
          <c:xVal>
            <c:numRef>
              <c:f>'Electron beam and constants'!$N$5:$N$24</c:f>
              <c:numCache>
                <c:formatCode>0.0</c:formatCode>
                <c:ptCount val="20"/>
                <c:pt idx="0">
                  <c:v>266.36944266178443</c:v>
                </c:pt>
                <c:pt idx="1">
                  <c:v>293.41730928687861</c:v>
                </c:pt>
                <c:pt idx="2">
                  <c:v>324.69712410369095</c:v>
                </c:pt>
                <c:pt idx="3">
                  <c:v>361.11273201322155</c:v>
                </c:pt>
                <c:pt idx="4">
                  <c:v>403.81351821463397</c:v>
                </c:pt>
                <c:pt idx="5">
                  <c:v>454.27495582795666</c:v>
                </c:pt>
                <c:pt idx="6">
                  <c:v>514.40950421243963</c:v>
                </c:pt>
                <c:pt idx="7">
                  <c:v>586.7201098708631</c:v>
                </c:pt>
                <c:pt idx="8">
                  <c:v>674.51305525691794</c:v>
                </c:pt>
                <c:pt idx="9">
                  <c:v>782.19172741207626</c:v>
                </c:pt>
                <c:pt idx="10">
                  <c:v>915.65532078102001</c:v>
                </c:pt>
                <c:pt idx="11">
                  <c:v>1082.8180203371371</c:v>
                </c:pt>
                <c:pt idx="12">
                  <c:v>1294.2210065341967</c:v>
                </c:pt>
                <c:pt idx="13">
                  <c:v>1563.5699646178148</c:v>
                </c:pt>
                <c:pt idx="14">
                  <c:v>1907.6482322992517</c:v>
                </c:pt>
                <c:pt idx="15">
                  <c:v>2344.1359800192249</c:v>
                </c:pt>
                <c:pt idx="16">
                  <c:v>2884.0527038049868</c:v>
                </c:pt>
                <c:pt idx="17">
                  <c:v>3513.464855383324</c:v>
                </c:pt>
                <c:pt idx="18">
                  <c:v>4162.3051475205857</c:v>
                </c:pt>
                <c:pt idx="19">
                  <c:v>4680.9733399250299</c:v>
                </c:pt>
              </c:numCache>
            </c:numRef>
          </c:xVal>
          <c:yVal>
            <c:numRef>
              <c:f>'Electron beam and constants'!$O$5:$O$24</c:f>
              <c:numCache>
                <c:formatCode>0.000000E+00</c:formatCode>
                <c:ptCount val="20"/>
                <c:pt idx="0">
                  <c:v>662893943541591.5</c:v>
                </c:pt>
                <c:pt idx="1">
                  <c:v>661379921938685</c:v>
                </c:pt>
                <c:pt idx="2">
                  <c:v>659452648863151.5</c:v>
                </c:pt>
                <c:pt idx="3">
                  <c:v>656972818160159.88</c:v>
                </c:pt>
                <c:pt idx="4">
                  <c:v>653745101297383</c:v>
                </c:pt>
                <c:pt idx="5">
                  <c:v>649492130235328.88</c:v>
                </c:pt>
                <c:pt idx="6">
                  <c:v>643815062995310.88</c:v>
                </c:pt>
                <c:pt idx="7">
                  <c:v>636133532934725.38</c:v>
                </c:pt>
                <c:pt idx="8">
                  <c:v>625594400234861.38</c:v>
                </c:pt>
                <c:pt idx="9">
                  <c:v>610935170888191.63</c:v>
                </c:pt>
                <c:pt idx="10">
                  <c:v>590287825093394.5</c:v>
                </c:pt>
                <c:pt idx="11">
                  <c:v>560924591554717.75</c:v>
                </c:pt>
                <c:pt idx="12">
                  <c:v>519015767369222.06</c:v>
                </c:pt>
                <c:pt idx="13">
                  <c:v>459683665926572.5</c:v>
                </c:pt>
                <c:pt idx="14">
                  <c:v>378165446489921.13</c:v>
                </c:pt>
                <c:pt idx="15">
                  <c:v>273755360082729.38</c:v>
                </c:pt>
                <c:pt idx="16">
                  <c:v>157848410864346.47</c:v>
                </c:pt>
                <c:pt idx="17">
                  <c:v>59950457513195.047</c:v>
                </c:pt>
                <c:pt idx="18">
                  <c:v>10086245405965.898</c:v>
                </c:pt>
                <c:pt idx="19">
                  <c:v>246288665007.89658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993C-4569-9619-383B7BF8F036}"/>
            </c:ext>
          </c:extLst>
        </c:ser>
        <c:ser>
          <c:idx val="2"/>
          <c:order val="10"/>
          <c:tx>
            <c:v>5o harm</c:v>
          </c:tx>
          <c:marker>
            <c:symbol val="none"/>
          </c:marker>
          <c:xVal>
            <c:numRef>
              <c:f>'Electron beam and constants'!$Q$5:$Q$24</c:f>
              <c:numCache>
                <c:formatCode>0.0</c:formatCode>
                <c:ptCount val="20"/>
                <c:pt idx="0">
                  <c:v>443.94907110297396</c:v>
                </c:pt>
                <c:pt idx="1">
                  <c:v>489.02884881146429</c:v>
                </c:pt>
                <c:pt idx="2">
                  <c:v>541.16187350615155</c:v>
                </c:pt>
                <c:pt idx="3">
                  <c:v>601.85455335536915</c:v>
                </c:pt>
                <c:pt idx="4">
                  <c:v>673.02253035772333</c:v>
                </c:pt>
                <c:pt idx="5">
                  <c:v>757.12492637992784</c:v>
                </c:pt>
                <c:pt idx="6">
                  <c:v>857.34917368739934</c:v>
                </c:pt>
                <c:pt idx="7">
                  <c:v>977.86684978477172</c:v>
                </c:pt>
                <c:pt idx="8">
                  <c:v>1124.1884254281963</c:v>
                </c:pt>
                <c:pt idx="9">
                  <c:v>1303.6528790201271</c:v>
                </c:pt>
                <c:pt idx="10">
                  <c:v>1526.0922013016998</c:v>
                </c:pt>
                <c:pt idx="11">
                  <c:v>1804.6967005618949</c:v>
                </c:pt>
                <c:pt idx="12">
                  <c:v>2157.0350108903276</c:v>
                </c:pt>
                <c:pt idx="13">
                  <c:v>2605.9499410296912</c:v>
                </c:pt>
                <c:pt idx="14">
                  <c:v>3179.4137204987524</c:v>
                </c:pt>
                <c:pt idx="15">
                  <c:v>3906.8933000320408</c:v>
                </c:pt>
                <c:pt idx="16">
                  <c:v>4806.7545063416437</c:v>
                </c:pt>
                <c:pt idx="17">
                  <c:v>5855.7747589722048</c:v>
                </c:pt>
                <c:pt idx="18">
                  <c:v>6937.1752458676419</c:v>
                </c:pt>
                <c:pt idx="19">
                  <c:v>7801.6222332083826</c:v>
                </c:pt>
              </c:numCache>
            </c:numRef>
          </c:xVal>
          <c:yVal>
            <c:numRef>
              <c:f>'Electron beam and constants'!$R$5:$R$24</c:f>
              <c:numCache>
                <c:formatCode>0.000000E+00</c:formatCode>
                <c:ptCount val="20"/>
                <c:pt idx="0">
                  <c:v>542281415353117.5</c:v>
                </c:pt>
                <c:pt idx="1">
                  <c:v>539887188746768.5</c:v>
                </c:pt>
                <c:pt idx="2">
                  <c:v>536854060304518.44</c:v>
                </c:pt>
                <c:pt idx="3">
                  <c:v>532973881766715.75</c:v>
                </c:pt>
                <c:pt idx="4">
                  <c:v>527959117857700</c:v>
                </c:pt>
                <c:pt idx="5">
                  <c:v>521409056639937.13</c:v>
                </c:pt>
                <c:pt idx="6">
                  <c:v>512761186750040.25</c:v>
                </c:pt>
                <c:pt idx="7">
                  <c:v>501222375512578.94</c:v>
                </c:pt>
                <c:pt idx="8">
                  <c:v>485675157346896.88</c:v>
                </c:pt>
                <c:pt idx="9">
                  <c:v>464560905545072.88</c:v>
                </c:pt>
                <c:pt idx="10">
                  <c:v>435764788999183.13</c:v>
                </c:pt>
                <c:pt idx="11">
                  <c:v>396593197060107.13</c:v>
                </c:pt>
                <c:pt idx="12">
                  <c:v>344087299329326.75</c:v>
                </c:pt>
                <c:pt idx="13">
                  <c:v>276225718133561.06</c:v>
                </c:pt>
                <c:pt idx="14">
                  <c:v>194827745069022.59</c:v>
                </c:pt>
                <c:pt idx="15">
                  <c:v>110130223149235.33</c:v>
                </c:pt>
                <c:pt idx="16">
                  <c:v>42206543635286.734</c:v>
                </c:pt>
                <c:pt idx="17">
                  <c:v>7996385220470.7227</c:v>
                </c:pt>
                <c:pt idx="18">
                  <c:v>388805539850.44574</c:v>
                </c:pt>
                <c:pt idx="19">
                  <c:v>765122353.45450115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993C-4569-9619-383B7BF8F036}"/>
            </c:ext>
          </c:extLst>
        </c:ser>
        <c:ser>
          <c:idx val="3"/>
          <c:order val="11"/>
          <c:tx>
            <c:v>7o harm</c:v>
          </c:tx>
          <c:marker>
            <c:symbol val="none"/>
          </c:marker>
          <c:xVal>
            <c:numRef>
              <c:f>'Electron beam and constants'!$T$5:$T$24</c:f>
              <c:numCache>
                <c:formatCode>0.0</c:formatCode>
                <c:ptCount val="20"/>
                <c:pt idx="0">
                  <c:v>621.52869954416371</c:v>
                </c:pt>
                <c:pt idx="1">
                  <c:v>684.64038833605002</c:v>
                </c:pt>
                <c:pt idx="2">
                  <c:v>757.62662290861226</c:v>
                </c:pt>
                <c:pt idx="3">
                  <c:v>842.59637469751704</c:v>
                </c:pt>
                <c:pt idx="4">
                  <c:v>942.23154250081257</c:v>
                </c:pt>
                <c:pt idx="5">
                  <c:v>1059.9748969318989</c:v>
                </c:pt>
                <c:pt idx="6">
                  <c:v>1200.2888431623594</c:v>
                </c:pt>
                <c:pt idx="7">
                  <c:v>1369.0135896986806</c:v>
                </c:pt>
                <c:pt idx="8">
                  <c:v>1573.8637955994752</c:v>
                </c:pt>
                <c:pt idx="9">
                  <c:v>1825.1140306281782</c:v>
                </c:pt>
                <c:pt idx="10">
                  <c:v>2136.5290818223802</c:v>
                </c:pt>
                <c:pt idx="11">
                  <c:v>2526.5753807866536</c:v>
                </c:pt>
                <c:pt idx="12">
                  <c:v>3019.8490152464592</c:v>
                </c:pt>
                <c:pt idx="13">
                  <c:v>3648.3299174415679</c:v>
                </c:pt>
                <c:pt idx="14">
                  <c:v>4451.1792086982541</c:v>
                </c:pt>
                <c:pt idx="15">
                  <c:v>5469.6506200448584</c:v>
                </c:pt>
                <c:pt idx="16">
                  <c:v>6729.4563088783025</c:v>
                </c:pt>
                <c:pt idx="17">
                  <c:v>8198.0846625610884</c:v>
                </c:pt>
                <c:pt idx="18">
                  <c:v>9712.0453442146991</c:v>
                </c:pt>
                <c:pt idx="19">
                  <c:v>10922.271126491738</c:v>
                </c:pt>
              </c:numCache>
            </c:numRef>
          </c:xVal>
          <c:yVal>
            <c:numRef>
              <c:f>'Electron beam and constants'!$U$5:$U$24</c:f>
              <c:numCache>
                <c:formatCode>0.000000E+00</c:formatCode>
                <c:ptCount val="20"/>
                <c:pt idx="0">
                  <c:v>474043268651490.88</c:v>
                </c:pt>
                <c:pt idx="1">
                  <c:v>470827338423204.5</c:v>
                </c:pt>
                <c:pt idx="2">
                  <c:v>466771921295484.75</c:v>
                </c:pt>
                <c:pt idx="3">
                  <c:v>461612811232585</c:v>
                </c:pt>
                <c:pt idx="4">
                  <c:v>454990608339757.56</c:v>
                </c:pt>
                <c:pt idx="5">
                  <c:v>446414192916709.25</c:v>
                </c:pt>
                <c:pt idx="6">
                  <c:v>435211594682718.31</c:v>
                </c:pt>
                <c:pt idx="7">
                  <c:v>420467399908228.5</c:v>
                </c:pt>
                <c:pt idx="8">
                  <c:v>400952216461604.06</c:v>
                </c:pt>
                <c:pt idx="9">
                  <c:v>375068215503261.94</c:v>
                </c:pt>
                <c:pt idx="10">
                  <c:v>340875697163335.94</c:v>
                </c:pt>
                <c:pt idx="11">
                  <c:v>296371057484545.69</c:v>
                </c:pt>
                <c:pt idx="12">
                  <c:v>240329115789670</c:v>
                </c:pt>
                <c:pt idx="13">
                  <c:v>174168661399819.59</c:v>
                </c:pt>
                <c:pt idx="14">
                  <c:v>104806696536186.78</c:v>
                </c:pt>
                <c:pt idx="15">
                  <c:v>45995492282104.648</c:v>
                </c:pt>
                <c:pt idx="16">
                  <c:v>11641059872969.123</c:v>
                </c:pt>
                <c:pt idx="17">
                  <c:v>1092894945171.1027</c:v>
                </c:pt>
                <c:pt idx="18">
                  <c:v>15263247878.87216</c:v>
                </c:pt>
                <c:pt idx="19">
                  <c:v>2409575.9369407119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993C-4569-9619-383B7BF8F036}"/>
            </c:ext>
          </c:extLst>
        </c:ser>
        <c:ser>
          <c:idx val="4"/>
          <c:order val="12"/>
          <c:tx>
            <c:v>9o harm</c:v>
          </c:tx>
          <c:marker>
            <c:symbol val="none"/>
          </c:marker>
          <c:xVal>
            <c:numRef>
              <c:f>'Electron beam and constants'!$W$5:$W$24</c:f>
              <c:numCache>
                <c:formatCode>0.0</c:formatCode>
                <c:ptCount val="20"/>
                <c:pt idx="0">
                  <c:v>799.10832798535341</c:v>
                </c:pt>
                <c:pt idx="1">
                  <c:v>880.25192786063587</c:v>
                </c:pt>
                <c:pt idx="2">
                  <c:v>974.09137231107297</c:v>
                </c:pt>
                <c:pt idx="3">
                  <c:v>1083.3381960396648</c:v>
                </c:pt>
                <c:pt idx="4">
                  <c:v>1211.440554643902</c:v>
                </c:pt>
                <c:pt idx="5">
                  <c:v>1362.8248674838703</c:v>
                </c:pt>
                <c:pt idx="6">
                  <c:v>1543.2285126373192</c:v>
                </c:pt>
                <c:pt idx="7">
                  <c:v>1760.1603296125895</c:v>
                </c:pt>
                <c:pt idx="8">
                  <c:v>2023.5391657707539</c:v>
                </c:pt>
                <c:pt idx="9">
                  <c:v>2346.575182236229</c:v>
                </c:pt>
                <c:pt idx="10">
                  <c:v>2746.9659623430603</c:v>
                </c:pt>
                <c:pt idx="11">
                  <c:v>3248.4540610114123</c:v>
                </c:pt>
                <c:pt idx="12">
                  <c:v>3882.6630196025903</c:v>
                </c:pt>
                <c:pt idx="13">
                  <c:v>4690.7098938534455</c:v>
                </c:pt>
                <c:pt idx="14">
                  <c:v>5722.9446968977554</c:v>
                </c:pt>
                <c:pt idx="15">
                  <c:v>7032.4079400576757</c:v>
                </c:pt>
                <c:pt idx="16">
                  <c:v>8652.1581114149612</c:v>
                </c:pt>
                <c:pt idx="17">
                  <c:v>10540.394566149973</c:v>
                </c:pt>
                <c:pt idx="18">
                  <c:v>12486.915442561756</c:v>
                </c:pt>
                <c:pt idx="19">
                  <c:v>14042.920019775092</c:v>
                </c:pt>
              </c:numCache>
            </c:numRef>
          </c:xVal>
          <c:yVal>
            <c:numRef>
              <c:f>'Electron beam and constants'!$X$5:$X$24</c:f>
              <c:numCache>
                <c:formatCode>0.000000E+00</c:formatCode>
                <c:ptCount val="20"/>
                <c:pt idx="0">
                  <c:v>427612123035382.94</c:v>
                </c:pt>
                <c:pt idx="1">
                  <c:v>423626879476261.19</c:v>
                </c:pt>
                <c:pt idx="2">
                  <c:v>418623872323270.06</c:v>
                </c:pt>
                <c:pt idx="3">
                  <c:v>412293997763015.75</c:v>
                </c:pt>
                <c:pt idx="4">
                  <c:v>404223503967785.06</c:v>
                </c:pt>
                <c:pt idx="5">
                  <c:v>393858683436130.75</c:v>
                </c:pt>
                <c:pt idx="6">
                  <c:v>380462704206267.94</c:v>
                </c:pt>
                <c:pt idx="7">
                  <c:v>363069604223119.19</c:v>
                </c:pt>
                <c:pt idx="8">
                  <c:v>340452470602614.75</c:v>
                </c:pt>
                <c:pt idx="9">
                  <c:v>311150704671623</c:v>
                </c:pt>
                <c:pt idx="10">
                  <c:v>273656761381141.09</c:v>
                </c:pt>
                <c:pt idx="11">
                  <c:v>226956176415192.97</c:v>
                </c:pt>
                <c:pt idx="12">
                  <c:v>171698061190831.81</c:v>
                </c:pt>
                <c:pt idx="13">
                  <c:v>112085161310679.28</c:v>
                </c:pt>
                <c:pt idx="14">
                  <c:v>57398346190543.047</c:v>
                </c:pt>
                <c:pt idx="15">
                  <c:v>19501729194915.57</c:v>
                </c:pt>
                <c:pt idx="16">
                  <c:v>3249883469191.4019</c:v>
                </c:pt>
                <c:pt idx="17">
                  <c:v>150753086413.37622</c:v>
                </c:pt>
                <c:pt idx="18">
                  <c:v>603187093.43156946</c:v>
                </c:pt>
                <c:pt idx="19">
                  <c:v>7624.9287865608148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993C-4569-9619-383B7BF8F036}"/>
            </c:ext>
          </c:extLst>
        </c:ser>
        <c:ser>
          <c:idx val="5"/>
          <c:order val="13"/>
          <c:tx>
            <c:v>11° harm</c:v>
          </c:tx>
          <c:marker>
            <c:symbol val="none"/>
          </c:marker>
          <c:xVal>
            <c:numRef>
              <c:f>'Electron beam and constants'!$Z$5:$Z$24</c:f>
              <c:numCache>
                <c:formatCode>0.0</c:formatCode>
                <c:ptCount val="20"/>
                <c:pt idx="0">
                  <c:v>976.68795642654288</c:v>
                </c:pt>
                <c:pt idx="1">
                  <c:v>1075.8634673852216</c:v>
                </c:pt>
                <c:pt idx="2">
                  <c:v>1190.5561217135335</c:v>
                </c:pt>
                <c:pt idx="3">
                  <c:v>1324.0800173818122</c:v>
                </c:pt>
                <c:pt idx="4">
                  <c:v>1480.6495667869913</c:v>
                </c:pt>
                <c:pt idx="5">
                  <c:v>1665.674838035841</c:v>
                </c:pt>
                <c:pt idx="6">
                  <c:v>1886.1681821122786</c:v>
                </c:pt>
                <c:pt idx="7">
                  <c:v>2151.3070695264978</c:v>
                </c:pt>
                <c:pt idx="8">
                  <c:v>2473.2145359420319</c:v>
                </c:pt>
                <c:pt idx="9">
                  <c:v>2868.0363338442794</c:v>
                </c:pt>
                <c:pt idx="10">
                  <c:v>3357.4028428637398</c:v>
                </c:pt>
                <c:pt idx="11">
                  <c:v>3970.3327412361696</c:v>
                </c:pt>
                <c:pt idx="12">
                  <c:v>4745.4770239587206</c:v>
                </c:pt>
                <c:pt idx="13">
                  <c:v>5733.0898702653203</c:v>
                </c:pt>
                <c:pt idx="14">
                  <c:v>6994.7101850972558</c:v>
                </c:pt>
                <c:pt idx="15">
                  <c:v>8595.1652600704911</c:v>
                </c:pt>
                <c:pt idx="16">
                  <c:v>10574.859913951617</c:v>
                </c:pt>
                <c:pt idx="17">
                  <c:v>12882.704469738852</c:v>
                </c:pt>
                <c:pt idx="18">
                  <c:v>15261.785540908813</c:v>
                </c:pt>
                <c:pt idx="19">
                  <c:v>17163.568913058443</c:v>
                </c:pt>
              </c:numCache>
            </c:numRef>
          </c:xVal>
          <c:yVal>
            <c:numRef>
              <c:f>'Electron beam and constants'!$AA$5:$AA$24</c:f>
              <c:numCache>
                <c:formatCode>0.000000E+00</c:formatCode>
                <c:ptCount val="20"/>
                <c:pt idx="0">
                  <c:v>392806167595845</c:v>
                </c:pt>
                <c:pt idx="1">
                  <c:v>388099822809209.44</c:v>
                </c:pt>
                <c:pt idx="2">
                  <c:v>382217716272694.63</c:v>
                </c:pt>
                <c:pt idx="3">
                  <c:v>374815736244943.94</c:v>
                </c:pt>
                <c:pt idx="4">
                  <c:v>365441045021690.25</c:v>
                </c:pt>
                <c:pt idx="5">
                  <c:v>353501073841420.81</c:v>
                </c:pt>
                <c:pt idx="6">
                  <c:v>338230965097959.75</c:v>
                </c:pt>
                <c:pt idx="7">
                  <c:v>318670902960391.31</c:v>
                </c:pt>
                <c:pt idx="8">
                  <c:v>293681145649704.44</c:v>
                </c:pt>
                <c:pt idx="9">
                  <c:v>262056184852021.16</c:v>
                </c:pt>
                <c:pt idx="10">
                  <c:v>222855034879438.19</c:v>
                </c:pt>
                <c:pt idx="11">
                  <c:v>176126483720763.22</c:v>
                </c:pt>
                <c:pt idx="12">
                  <c:v>124163019841167.47</c:v>
                </c:pt>
                <c:pt idx="13">
                  <c:v>72913280704006.406</c:v>
                </c:pt>
                <c:pt idx="14">
                  <c:v>31727364394053.504</c:v>
                </c:pt>
                <c:pt idx="15">
                  <c:v>8332096445357.7324</c:v>
                </c:pt>
                <c:pt idx="16">
                  <c:v>912764079846.23364</c:v>
                </c:pt>
                <c:pt idx="17">
                  <c:v>20888285696.503025</c:v>
                </c:pt>
                <c:pt idx="18">
                  <c:v>23913050.287944734</c:v>
                </c:pt>
                <c:pt idx="19">
                  <c:v>24.182610890257806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993C-4569-9619-383B7BF8F036}"/>
            </c:ext>
          </c:extLst>
        </c:ser>
        <c:ser>
          <c:idx val="6"/>
          <c:order val="14"/>
          <c:tx>
            <c:v>13° harm</c:v>
          </c:tx>
          <c:marker>
            <c:symbol val="none"/>
          </c:marker>
          <c:xVal>
            <c:numRef>
              <c:f>'Electron beam and constants'!$AC$5:$AC$24</c:f>
              <c:numCache>
                <c:formatCode>0.0</c:formatCode>
                <c:ptCount val="20"/>
                <c:pt idx="0">
                  <c:v>1154.2675848677325</c:v>
                </c:pt>
                <c:pt idx="1">
                  <c:v>1271.4750069098072</c:v>
                </c:pt>
                <c:pt idx="2">
                  <c:v>1407.0208711159939</c:v>
                </c:pt>
                <c:pt idx="3">
                  <c:v>1564.8218387239599</c:v>
                </c:pt>
                <c:pt idx="4">
                  <c:v>1749.8585789300803</c:v>
                </c:pt>
                <c:pt idx="5">
                  <c:v>1968.5248085878122</c:v>
                </c:pt>
                <c:pt idx="6">
                  <c:v>2229.1078515872382</c:v>
                </c:pt>
                <c:pt idx="7">
                  <c:v>2542.4538094404065</c:v>
                </c:pt>
                <c:pt idx="8">
                  <c:v>2922.8899061133106</c:v>
                </c:pt>
                <c:pt idx="9">
                  <c:v>3389.4974854523298</c:v>
                </c:pt>
                <c:pt idx="10">
                  <c:v>3967.8397233844198</c:v>
                </c:pt>
                <c:pt idx="11">
                  <c:v>4692.2114214609273</c:v>
                </c:pt>
                <c:pt idx="12">
                  <c:v>5608.2910283148512</c:v>
                </c:pt>
                <c:pt idx="13">
                  <c:v>6775.469846677197</c:v>
                </c:pt>
                <c:pt idx="14">
                  <c:v>8266.4756732967562</c:v>
                </c:pt>
                <c:pt idx="15">
                  <c:v>10157.922580083308</c:v>
                </c:pt>
                <c:pt idx="16">
                  <c:v>12497.561716488275</c:v>
                </c:pt>
                <c:pt idx="17">
                  <c:v>15225.014373327736</c:v>
                </c:pt>
                <c:pt idx="18">
                  <c:v>18036.65563925587</c:v>
                </c:pt>
                <c:pt idx="19">
                  <c:v>20284.217806341796</c:v>
                </c:pt>
              </c:numCache>
            </c:numRef>
          </c:xVal>
          <c:yVal>
            <c:numRef>
              <c:f>'Electron beam and constants'!$AD$5:$AD$24</c:f>
              <c:numCache>
                <c:formatCode>0.000000E+00</c:formatCode>
                <c:ptCount val="20"/>
                <c:pt idx="0">
                  <c:v>365113622235144.06</c:v>
                </c:pt>
                <c:pt idx="1">
                  <c:v>359731123680898.56</c:v>
                </c:pt>
                <c:pt idx="2">
                  <c:v>353033476498889.81</c:v>
                </c:pt>
                <c:pt idx="3">
                  <c:v>344650374068312.69</c:v>
                </c:pt>
                <c:pt idx="4">
                  <c:v>334103226751412.94</c:v>
                </c:pt>
                <c:pt idx="5">
                  <c:v>320780848792320.88</c:v>
                </c:pt>
                <c:pt idx="6">
                  <c:v>303920731513203.31</c:v>
                </c:pt>
                <c:pt idx="7">
                  <c:v>282613482435393.56</c:v>
                </c:pt>
                <c:pt idx="8">
                  <c:v>255867219632704.88</c:v>
                </c:pt>
                <c:pt idx="9">
                  <c:v>222803229969416.69</c:v>
                </c:pt>
                <c:pt idx="10">
                  <c:v>183098482183829.47</c:v>
                </c:pt>
                <c:pt idx="11">
                  <c:v>137800268465234.41</c:v>
                </c:pt>
                <c:pt idx="12">
                  <c:v>90450597329060.703</c:v>
                </c:pt>
                <c:pt idx="13">
                  <c:v>47737898737560.219</c:v>
                </c:pt>
                <c:pt idx="14">
                  <c:v>17633524036262.242</c:v>
                </c:pt>
                <c:pt idx="15">
                  <c:v>3575715128578.7046</c:v>
                </c:pt>
                <c:pt idx="16">
                  <c:v>257242652247.93546</c:v>
                </c:pt>
                <c:pt idx="17">
                  <c:v>2901590050.2329326</c:v>
                </c:pt>
                <c:pt idx="18">
                  <c:v>949690.77595332265</c:v>
                </c:pt>
                <c:pt idx="19">
                  <c:v>7.678950611768029E-2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993C-4569-9619-383B7BF8F036}"/>
            </c:ext>
          </c:extLst>
        </c:ser>
        <c:ser>
          <c:idx val="7"/>
          <c:order val="15"/>
          <c:tx>
            <c:v>15° harm</c:v>
          </c:tx>
          <c:marker>
            <c:symbol val="none"/>
          </c:marker>
          <c:xVal>
            <c:numRef>
              <c:f>'Electron beam and constants'!$AF$5:$AF$24</c:f>
              <c:numCache>
                <c:formatCode>0.0</c:formatCode>
                <c:ptCount val="20"/>
                <c:pt idx="0">
                  <c:v>1331.8472133089222</c:v>
                </c:pt>
                <c:pt idx="1">
                  <c:v>1467.0865464343929</c:v>
                </c:pt>
                <c:pt idx="2">
                  <c:v>1623.4856205184549</c:v>
                </c:pt>
                <c:pt idx="3">
                  <c:v>1805.5636600661076</c:v>
                </c:pt>
                <c:pt idx="4">
                  <c:v>2019.06759107317</c:v>
                </c:pt>
                <c:pt idx="5">
                  <c:v>2271.3747791397836</c:v>
                </c:pt>
                <c:pt idx="6">
                  <c:v>2572.0475210621985</c:v>
                </c:pt>
                <c:pt idx="7">
                  <c:v>2933.6005493543157</c:v>
                </c:pt>
                <c:pt idx="8">
                  <c:v>3372.5652762845898</c:v>
                </c:pt>
                <c:pt idx="9">
                  <c:v>3910.9586370603815</c:v>
                </c:pt>
                <c:pt idx="10">
                  <c:v>4578.2766039051003</c:v>
                </c:pt>
                <c:pt idx="11">
                  <c:v>5414.090101685686</c:v>
                </c:pt>
                <c:pt idx="12">
                  <c:v>6471.1050326709837</c:v>
                </c:pt>
                <c:pt idx="13">
                  <c:v>7817.8498230890737</c:v>
                </c:pt>
                <c:pt idx="14">
                  <c:v>9538.2411614962584</c:v>
                </c:pt>
                <c:pt idx="15">
                  <c:v>11720.679900096124</c:v>
                </c:pt>
                <c:pt idx="16">
                  <c:v>14420.263519024935</c:v>
                </c:pt>
                <c:pt idx="17">
                  <c:v>17567.324276916617</c:v>
                </c:pt>
                <c:pt idx="18">
                  <c:v>20811.525737602926</c:v>
                </c:pt>
                <c:pt idx="19">
                  <c:v>23404.866699625152</c:v>
                </c:pt>
              </c:numCache>
            </c:numRef>
          </c:xVal>
          <c:yVal>
            <c:numRef>
              <c:f>'Electron beam and constants'!$AG$5:$AG$24</c:f>
              <c:numCache>
                <c:formatCode>0.000000E+00</c:formatCode>
                <c:ptCount val="20"/>
                <c:pt idx="0">
                  <c:v>342178489856452.38</c:v>
                </c:pt>
                <c:pt idx="1">
                  <c:v>336162033764539.5</c:v>
                </c:pt>
                <c:pt idx="2">
                  <c:v>328708209105871.31</c:v>
                </c:pt>
                <c:pt idx="3">
                  <c:v>319428388790006.19</c:v>
                </c:pt>
                <c:pt idx="4">
                  <c:v>307829945347495.56</c:v>
                </c:pt>
                <c:pt idx="5">
                  <c:v>293300216945922.38</c:v>
                </c:pt>
                <c:pt idx="6">
                  <c:v>275103812010559.88</c:v>
                </c:pt>
                <c:pt idx="7">
                  <c:v>252415668451068.94</c:v>
                </c:pt>
                <c:pt idx="8">
                  <c:v>224433200679655.94</c:v>
                </c:pt>
                <c:pt idx="9">
                  <c:v>190641422572068.72</c:v>
                </c:pt>
                <c:pt idx="10">
                  <c:v>151328853952905.13</c:v>
                </c:pt>
                <c:pt idx="11">
                  <c:v>108399111493047.14</c:v>
                </c:pt>
                <c:pt idx="12">
                  <c:v>66210478519868.063</c:v>
                </c:pt>
                <c:pt idx="13">
                  <c:v>31386037338472.371</c:v>
                </c:pt>
                <c:pt idx="14">
                  <c:v>9834777418198.9453</c:v>
                </c:pt>
                <c:pt idx="15">
                  <c:v>1538836293580.3372</c:v>
                </c:pt>
                <c:pt idx="16">
                  <c:v>72654451075.732071</c:v>
                </c:pt>
                <c:pt idx="17">
                  <c:v>403690061.4206906</c:v>
                </c:pt>
                <c:pt idx="18">
                  <c:v>37757.006927774702</c:v>
                </c:pt>
                <c:pt idx="19">
                  <c:v>2.4401833188510217E-4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993C-4569-9619-383B7BF8F0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8849312"/>
        <c:axId val="1"/>
      </c:scatterChart>
      <c:valAx>
        <c:axId val="578849312"/>
        <c:scaling>
          <c:orientation val="minMax"/>
        </c:scaling>
        <c:delete val="0"/>
        <c:axPos val="t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pt-BR"/>
                  <a:t>E [eV]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1"/>
        <c:crosses val="max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pt-BR" sz="900"/>
                  <a:t>Photon Flux  [photons/ s / 0.1% BW]</a:t>
                </a:r>
              </a:p>
            </c:rich>
          </c:tx>
          <c:layout>
            <c:manualLayout>
              <c:xMode val="edge"/>
              <c:yMode val="edge"/>
              <c:x val="1.3223851605705248E-2"/>
              <c:y val="0.11874534293723167"/>
            </c:manualLayout>
          </c:layout>
          <c:overlay val="0"/>
        </c:title>
        <c:numFmt formatCode="0.00E+0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578849312"/>
        <c:crosses val="autoZero"/>
        <c:crossBetween val="midCat"/>
      </c:valAx>
    </c:plotArea>
    <c:legend>
      <c:legendPos val="b"/>
      <c:overlay val="0"/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9718857941854337"/>
          <c:y val="0.23168028524736295"/>
          <c:w val="0.73517404003957743"/>
          <c:h val="0.63594859604813547"/>
        </c:manualLayout>
      </c:layout>
      <c:scatterChart>
        <c:scatterStyle val="lineMarker"/>
        <c:varyColors val="0"/>
        <c:ser>
          <c:idx val="8"/>
          <c:order val="0"/>
          <c:tx>
            <c:v>1o harm</c:v>
          </c:tx>
          <c:marker>
            <c:symbol val="none"/>
          </c:marker>
          <c:xVal>
            <c:numRef>
              <c:f>'Electron beam and constants'!$K$5:$K$24</c:f>
              <c:numCache>
                <c:formatCode>0.0</c:formatCode>
                <c:ptCount val="20"/>
                <c:pt idx="0">
                  <c:v>88.789814220594806</c:v>
                </c:pt>
                <c:pt idx="1">
                  <c:v>97.805769762292854</c:v>
                </c:pt>
                <c:pt idx="2">
                  <c:v>108.23237470123031</c:v>
                </c:pt>
                <c:pt idx="3">
                  <c:v>120.37091067107384</c:v>
                </c:pt>
                <c:pt idx="4">
                  <c:v>134.60450607154465</c:v>
                </c:pt>
                <c:pt idx="5">
                  <c:v>151.42498527598556</c:v>
                </c:pt>
                <c:pt idx="6">
                  <c:v>171.46983473747989</c:v>
                </c:pt>
                <c:pt idx="7">
                  <c:v>195.57336995695437</c:v>
                </c:pt>
                <c:pt idx="8">
                  <c:v>224.83768508563927</c:v>
                </c:pt>
                <c:pt idx="9">
                  <c:v>260.73057580402542</c:v>
                </c:pt>
                <c:pt idx="10">
                  <c:v>305.21844026034</c:v>
                </c:pt>
                <c:pt idx="11">
                  <c:v>360.939340112379</c:v>
                </c:pt>
                <c:pt idx="12">
                  <c:v>431.40700217806557</c:v>
                </c:pt>
                <c:pt idx="13">
                  <c:v>521.18998820593822</c:v>
                </c:pt>
                <c:pt idx="14">
                  <c:v>635.88274409975054</c:v>
                </c:pt>
                <c:pt idx="15">
                  <c:v>781.37866000640838</c:v>
                </c:pt>
                <c:pt idx="16">
                  <c:v>961.35090126832881</c:v>
                </c:pt>
                <c:pt idx="17">
                  <c:v>1171.1549517944413</c:v>
                </c:pt>
                <c:pt idx="18">
                  <c:v>1387.4350491735283</c:v>
                </c:pt>
                <c:pt idx="19">
                  <c:v>1560.3244466416766</c:v>
                </c:pt>
              </c:numCache>
            </c:numRef>
          </c:xVal>
          <c:yVal>
            <c:numRef>
              <c:f>'Electron beam and constants'!$L$5:$L$24</c:f>
              <c:numCache>
                <c:formatCode>0.000000E+00</c:formatCode>
                <c:ptCount val="20"/>
                <c:pt idx="0">
                  <c:v>1016982932332184.8</c:v>
                </c:pt>
                <c:pt idx="1">
                  <c:v>1016421464980249.9</c:v>
                </c:pt>
                <c:pt idx="2">
                  <c:v>1015702856709704.5</c:v>
                </c:pt>
                <c:pt idx="3">
                  <c:v>1014772197475201.6</c:v>
                </c:pt>
                <c:pt idx="4">
                  <c:v>1013551311377319.1</c:v>
                </c:pt>
                <c:pt idx="5">
                  <c:v>1011927075348234.6</c:v>
                </c:pt>
                <c:pt idx="6">
                  <c:v>1009732928939531.9</c:v>
                </c:pt>
                <c:pt idx="7">
                  <c:v>1006719065215568.6</c:v>
                </c:pt>
                <c:pt idx="8">
                  <c:v>1002503490627353.1</c:v>
                </c:pt>
                <c:pt idx="9">
                  <c:v>996490287407566.63</c:v>
                </c:pt>
                <c:pt idx="10">
                  <c:v>987731136189025.25</c:v>
                </c:pt>
                <c:pt idx="11">
                  <c:v>974688808814473.25</c:v>
                </c:pt>
                <c:pt idx="12">
                  <c:v>954835137202566.75</c:v>
                </c:pt>
                <c:pt idx="13">
                  <c:v>923989029728975</c:v>
                </c:pt>
                <c:pt idx="14">
                  <c:v>875326277647764.25</c:v>
                </c:pt>
                <c:pt idx="15">
                  <c:v>798285671891032</c:v>
                </c:pt>
                <c:pt idx="16">
                  <c:v>678776701581203.75</c:v>
                </c:pt>
                <c:pt idx="17">
                  <c:v>505149237949744.31</c:v>
                </c:pt>
                <c:pt idx="18">
                  <c:v>287443684137014.63</c:v>
                </c:pt>
                <c:pt idx="19">
                  <c:v>85552059974130.609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6B-43F1-BA22-295EAA4CB104}"/>
            </c:ext>
          </c:extLst>
        </c:ser>
        <c:ser>
          <c:idx val="9"/>
          <c:order val="1"/>
          <c:tx>
            <c:v>3o harm</c:v>
          </c:tx>
          <c:marker>
            <c:symbol val="none"/>
          </c:marker>
          <c:xVal>
            <c:numRef>
              <c:f>'Electron beam and constants'!$N$5:$N$24</c:f>
              <c:numCache>
                <c:formatCode>0.0</c:formatCode>
                <c:ptCount val="20"/>
                <c:pt idx="0">
                  <c:v>266.36944266178443</c:v>
                </c:pt>
                <c:pt idx="1">
                  <c:v>293.41730928687861</c:v>
                </c:pt>
                <c:pt idx="2">
                  <c:v>324.69712410369095</c:v>
                </c:pt>
                <c:pt idx="3">
                  <c:v>361.11273201322155</c:v>
                </c:pt>
                <c:pt idx="4">
                  <c:v>403.81351821463397</c:v>
                </c:pt>
                <c:pt idx="5">
                  <c:v>454.27495582795666</c:v>
                </c:pt>
                <c:pt idx="6">
                  <c:v>514.40950421243963</c:v>
                </c:pt>
                <c:pt idx="7">
                  <c:v>586.7201098708631</c:v>
                </c:pt>
                <c:pt idx="8">
                  <c:v>674.51305525691794</c:v>
                </c:pt>
                <c:pt idx="9">
                  <c:v>782.19172741207626</c:v>
                </c:pt>
                <c:pt idx="10">
                  <c:v>915.65532078102001</c:v>
                </c:pt>
                <c:pt idx="11">
                  <c:v>1082.8180203371371</c:v>
                </c:pt>
                <c:pt idx="12">
                  <c:v>1294.2210065341967</c:v>
                </c:pt>
                <c:pt idx="13">
                  <c:v>1563.5699646178148</c:v>
                </c:pt>
                <c:pt idx="14">
                  <c:v>1907.6482322992517</c:v>
                </c:pt>
                <c:pt idx="15">
                  <c:v>2344.1359800192249</c:v>
                </c:pt>
                <c:pt idx="16">
                  <c:v>2884.0527038049868</c:v>
                </c:pt>
                <c:pt idx="17">
                  <c:v>3513.464855383324</c:v>
                </c:pt>
                <c:pt idx="18">
                  <c:v>4162.3051475205857</c:v>
                </c:pt>
                <c:pt idx="19">
                  <c:v>4680.9733399250299</c:v>
                </c:pt>
              </c:numCache>
            </c:numRef>
          </c:xVal>
          <c:yVal>
            <c:numRef>
              <c:f>'Electron beam and constants'!$O$5:$O$24</c:f>
              <c:numCache>
                <c:formatCode>0.000000E+00</c:formatCode>
                <c:ptCount val="20"/>
                <c:pt idx="0">
                  <c:v>662893943541591.5</c:v>
                </c:pt>
                <c:pt idx="1">
                  <c:v>661379921938685</c:v>
                </c:pt>
                <c:pt idx="2">
                  <c:v>659452648863151.5</c:v>
                </c:pt>
                <c:pt idx="3">
                  <c:v>656972818160159.88</c:v>
                </c:pt>
                <c:pt idx="4">
                  <c:v>653745101297383</c:v>
                </c:pt>
                <c:pt idx="5">
                  <c:v>649492130235328.88</c:v>
                </c:pt>
                <c:pt idx="6">
                  <c:v>643815062995310.88</c:v>
                </c:pt>
                <c:pt idx="7">
                  <c:v>636133532934725.38</c:v>
                </c:pt>
                <c:pt idx="8">
                  <c:v>625594400234861.38</c:v>
                </c:pt>
                <c:pt idx="9">
                  <c:v>610935170888191.63</c:v>
                </c:pt>
                <c:pt idx="10">
                  <c:v>590287825093394.5</c:v>
                </c:pt>
                <c:pt idx="11">
                  <c:v>560924591554717.75</c:v>
                </c:pt>
                <c:pt idx="12">
                  <c:v>519015767369222.06</c:v>
                </c:pt>
                <c:pt idx="13">
                  <c:v>459683665926572.5</c:v>
                </c:pt>
                <c:pt idx="14">
                  <c:v>378165446489921.13</c:v>
                </c:pt>
                <c:pt idx="15">
                  <c:v>273755360082729.38</c:v>
                </c:pt>
                <c:pt idx="16">
                  <c:v>157848410864346.47</c:v>
                </c:pt>
                <c:pt idx="17">
                  <c:v>59950457513195.047</c:v>
                </c:pt>
                <c:pt idx="18">
                  <c:v>10086245405965.898</c:v>
                </c:pt>
                <c:pt idx="19">
                  <c:v>246288665007.89658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56B-43F1-BA22-295EAA4CB1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8849312"/>
        <c:axId val="1"/>
      </c:scatterChart>
      <c:valAx>
        <c:axId val="578849312"/>
        <c:scaling>
          <c:orientation val="minMax"/>
        </c:scaling>
        <c:delete val="0"/>
        <c:axPos val="t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pt-BR"/>
                  <a:t>E [eV]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1"/>
        <c:crosses val="max"/>
        <c:crossBetween val="midCat"/>
      </c:valAx>
      <c:valAx>
        <c:axId val="1"/>
        <c:scaling>
          <c:logBase val="10"/>
          <c:orientation val="minMax"/>
          <c:min val="100000000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pt-BR" sz="720" baseline="0"/>
                  <a:t>Photon Flux [photons/ s /0.1% </a:t>
                </a:r>
                <a:r>
                  <a:rPr lang="pt-BR" sz="800"/>
                  <a:t>Bw]</a:t>
                </a:r>
              </a:p>
            </c:rich>
          </c:tx>
          <c:layout>
            <c:manualLayout>
              <c:xMode val="edge"/>
              <c:yMode val="edge"/>
              <c:x val="9.5465393794749408E-3"/>
              <c:y val="0.15254741742187886"/>
            </c:manualLayout>
          </c:layout>
          <c:overlay val="0"/>
        </c:title>
        <c:numFmt formatCode="0.0E+0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578849312"/>
        <c:crosses val="autoZero"/>
        <c:crossBetween val="midCat"/>
      </c:valAx>
    </c:plotArea>
    <c:legend>
      <c:legendPos val="b"/>
      <c:overlay val="0"/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6" Type="http://schemas.openxmlformats.org/officeDocument/2006/relationships/image" Target="../media/image2.svg"/><Relationship Id="rId5" Type="http://schemas.openxmlformats.org/officeDocument/2006/relationships/image" Target="../media/image1.png"/><Relationship Id="rId4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chart" Target="../charts/chart11.xml"/><Relationship Id="rId1" Type="http://schemas.openxmlformats.org/officeDocument/2006/relationships/chart" Target="../charts/chart10.xml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Relationship Id="rId5" Type="http://schemas.openxmlformats.org/officeDocument/2006/relationships/image" Target="../media/image8.png"/><Relationship Id="rId4" Type="http://schemas.openxmlformats.org/officeDocument/2006/relationships/chart" Target="../charts/chart1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24</xdr:row>
      <xdr:rowOff>57150</xdr:rowOff>
    </xdr:from>
    <xdr:to>
      <xdr:col>1</xdr:col>
      <xdr:colOff>1343025</xdr:colOff>
      <xdr:row>39</xdr:row>
      <xdr:rowOff>152400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23811</xdr:colOff>
      <xdr:row>24</xdr:row>
      <xdr:rowOff>28575</xdr:rowOff>
    </xdr:from>
    <xdr:to>
      <xdr:col>4</xdr:col>
      <xdr:colOff>1323974</xdr:colOff>
      <xdr:row>39</xdr:row>
      <xdr:rowOff>114300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14288</xdr:colOff>
      <xdr:row>24</xdr:row>
      <xdr:rowOff>38100</xdr:rowOff>
    </xdr:from>
    <xdr:to>
      <xdr:col>7</xdr:col>
      <xdr:colOff>1323976</xdr:colOff>
      <xdr:row>39</xdr:row>
      <xdr:rowOff>85725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19050</xdr:colOff>
      <xdr:row>24</xdr:row>
      <xdr:rowOff>28574</xdr:rowOff>
    </xdr:from>
    <xdr:to>
      <xdr:col>10</xdr:col>
      <xdr:colOff>1304925</xdr:colOff>
      <xdr:row>39</xdr:row>
      <xdr:rowOff>38098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38099</xdr:colOff>
      <xdr:row>24</xdr:row>
      <xdr:rowOff>57150</xdr:rowOff>
    </xdr:from>
    <xdr:to>
      <xdr:col>13</xdr:col>
      <xdr:colOff>1266824</xdr:colOff>
      <xdr:row>39</xdr:row>
      <xdr:rowOff>57149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37077</xdr:colOff>
      <xdr:row>6</xdr:row>
      <xdr:rowOff>0</xdr:rowOff>
    </xdr:from>
    <xdr:to>
      <xdr:col>8</xdr:col>
      <xdr:colOff>572523</xdr:colOff>
      <xdr:row>22</xdr:row>
      <xdr:rowOff>152400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37077</xdr:colOff>
      <xdr:row>23</xdr:row>
      <xdr:rowOff>9525</xdr:rowOff>
    </xdr:from>
    <xdr:to>
      <xdr:col>8</xdr:col>
      <xdr:colOff>572523</xdr:colOff>
      <xdr:row>40</xdr:row>
      <xdr:rowOff>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37077</xdr:colOff>
      <xdr:row>6</xdr:row>
      <xdr:rowOff>0</xdr:rowOff>
    </xdr:from>
    <xdr:to>
      <xdr:col>18</xdr:col>
      <xdr:colOff>572523</xdr:colOff>
      <xdr:row>22</xdr:row>
      <xdr:rowOff>152400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38099</xdr:colOff>
      <xdr:row>23</xdr:row>
      <xdr:rowOff>9525</xdr:rowOff>
    </xdr:from>
    <xdr:to>
      <xdr:col>18</xdr:col>
      <xdr:colOff>572522</xdr:colOff>
      <xdr:row>40</xdr:row>
      <xdr:rowOff>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19</xdr:col>
      <xdr:colOff>552450</xdr:colOff>
      <xdr:row>5</xdr:row>
      <xdr:rowOff>57150</xdr:rowOff>
    </xdr:from>
    <xdr:to>
      <xdr:col>33</xdr:col>
      <xdr:colOff>28575</xdr:colOff>
      <xdr:row>42</xdr:row>
      <xdr:rowOff>97380</xdr:rowOff>
    </xdr:to>
    <xdr:pic>
      <xdr:nvPicPr>
        <xdr:cNvPr id="9" name="Gráfic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4458950" y="1171575"/>
          <a:ext cx="8010525" cy="603145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50653</xdr:colOff>
      <xdr:row>12</xdr:row>
      <xdr:rowOff>122872</xdr:rowOff>
    </xdr:from>
    <xdr:to>
      <xdr:col>21</xdr:col>
      <xdr:colOff>616098</xdr:colOff>
      <xdr:row>37</xdr:row>
      <xdr:rowOff>115253</xdr:rowOff>
    </xdr:to>
    <xdr:graphicFrame macro="">
      <xdr:nvGraphicFramePr>
        <xdr:cNvPr id="5" name="Gráfico 1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669778</xdr:colOff>
      <xdr:row>12</xdr:row>
      <xdr:rowOff>122872</xdr:rowOff>
    </xdr:from>
    <xdr:to>
      <xdr:col>34</xdr:col>
      <xdr:colOff>406548</xdr:colOff>
      <xdr:row>37</xdr:row>
      <xdr:rowOff>115253</xdr:rowOff>
    </xdr:to>
    <xdr:graphicFrame macro="">
      <xdr:nvGraphicFramePr>
        <xdr:cNvPr id="6" name="Gráfico 1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</xdr:col>
      <xdr:colOff>695325</xdr:colOff>
      <xdr:row>14</xdr:row>
      <xdr:rowOff>19050</xdr:rowOff>
    </xdr:from>
    <xdr:to>
      <xdr:col>6</xdr:col>
      <xdr:colOff>342569</xdr:colOff>
      <xdr:row>17</xdr:row>
      <xdr:rowOff>133264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010150" y="2676525"/>
          <a:ext cx="2647619" cy="685714"/>
        </a:xfrm>
        <a:prstGeom prst="rect">
          <a:avLst/>
        </a:prstGeom>
      </xdr:spPr>
    </xdr:pic>
    <xdr:clientData/>
  </xdr:twoCellAnchor>
  <xdr:twoCellAnchor editAs="oneCell">
    <xdr:from>
      <xdr:col>2</xdr:col>
      <xdr:colOff>828675</xdr:colOff>
      <xdr:row>26</xdr:row>
      <xdr:rowOff>28576</xdr:rowOff>
    </xdr:from>
    <xdr:to>
      <xdr:col>6</xdr:col>
      <xdr:colOff>142177</xdr:colOff>
      <xdr:row>44</xdr:row>
      <xdr:rowOff>38101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143500" y="4914901"/>
          <a:ext cx="2313877" cy="3162300"/>
        </a:xfrm>
        <a:prstGeom prst="rect">
          <a:avLst/>
        </a:prstGeom>
      </xdr:spPr>
    </xdr:pic>
    <xdr:clientData/>
  </xdr:twoCellAnchor>
  <xdr:twoCellAnchor editAs="oneCell">
    <xdr:from>
      <xdr:col>3</xdr:col>
      <xdr:colOff>438151</xdr:colOff>
      <xdr:row>45</xdr:row>
      <xdr:rowOff>106515</xdr:rowOff>
    </xdr:from>
    <xdr:to>
      <xdr:col>5</xdr:col>
      <xdr:colOff>76201</xdr:colOff>
      <xdr:row>51</xdr:row>
      <xdr:rowOff>76062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667376" y="8298015"/>
          <a:ext cx="1162050" cy="941097"/>
        </a:xfrm>
        <a:prstGeom prst="rect">
          <a:avLst/>
        </a:prstGeom>
      </xdr:spPr>
    </xdr:pic>
    <xdr:clientData/>
  </xdr:twoCellAnchor>
  <xdr:twoCellAnchor editAs="oneCell">
    <xdr:from>
      <xdr:col>3</xdr:col>
      <xdr:colOff>174236</xdr:colOff>
      <xdr:row>22</xdr:row>
      <xdr:rowOff>18987</xdr:rowOff>
    </xdr:from>
    <xdr:to>
      <xdr:col>5</xdr:col>
      <xdr:colOff>396996</xdr:colOff>
      <xdr:row>24</xdr:row>
      <xdr:rowOff>47625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403461" y="4200462"/>
          <a:ext cx="1746760" cy="409638"/>
        </a:xfrm>
        <a:prstGeom prst="rect">
          <a:avLst/>
        </a:prstGeom>
      </xdr:spPr>
    </xdr:pic>
    <xdr:clientData/>
  </xdr:twoCellAnchor>
  <xdr:twoCellAnchor editAs="oneCell">
    <xdr:from>
      <xdr:col>2</xdr:col>
      <xdr:colOff>209029</xdr:colOff>
      <xdr:row>18</xdr:row>
      <xdr:rowOff>62418</xdr:rowOff>
    </xdr:from>
    <xdr:to>
      <xdr:col>6</xdr:col>
      <xdr:colOff>561144</xdr:colOff>
      <xdr:row>21</xdr:row>
      <xdr:rowOff>19050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4523854" y="3481893"/>
          <a:ext cx="3352490" cy="52813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34</xdr:row>
          <xdr:rowOff>95250</xdr:rowOff>
        </xdr:from>
        <xdr:to>
          <xdr:col>1</xdr:col>
          <xdr:colOff>1057275</xdr:colOff>
          <xdr:row>37</xdr:row>
          <xdr:rowOff>95250</xdr:rowOff>
        </xdr:to>
        <xdr:sp macro="" textlink="">
          <xdr:nvSpPr>
            <xdr:cNvPr id="1025" name="Botão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461115</xdr:colOff>
      <xdr:row>24</xdr:row>
      <xdr:rowOff>38100</xdr:rowOff>
    </xdr:from>
    <xdr:to>
      <xdr:col>16</xdr:col>
      <xdr:colOff>314325</xdr:colOff>
      <xdr:row>37</xdr:row>
      <xdr:rowOff>114990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400051</xdr:colOff>
      <xdr:row>24</xdr:row>
      <xdr:rowOff>46644</xdr:rowOff>
    </xdr:from>
    <xdr:to>
      <xdr:col>9</xdr:col>
      <xdr:colOff>561976</xdr:colOff>
      <xdr:row>37</xdr:row>
      <xdr:rowOff>142873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238125</xdr:colOff>
      <xdr:row>0</xdr:row>
      <xdr:rowOff>66676</xdr:rowOff>
    </xdr:from>
    <xdr:to>
      <xdr:col>29</xdr:col>
      <xdr:colOff>447675</xdr:colOff>
      <xdr:row>17</xdr:row>
      <xdr:rowOff>152400</xdr:rowOff>
    </xdr:to>
    <xdr:graphicFrame macro="">
      <xdr:nvGraphicFramePr>
        <xdr:cNvPr id="6" name="Gráfico 1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180975</xdr:colOff>
      <xdr:row>18</xdr:row>
      <xdr:rowOff>104775</xdr:rowOff>
    </xdr:from>
    <xdr:to>
      <xdr:col>29</xdr:col>
      <xdr:colOff>428625</xdr:colOff>
      <xdr:row>32</xdr:row>
      <xdr:rowOff>142875</xdr:rowOff>
    </xdr:to>
    <xdr:graphicFrame macro="">
      <xdr:nvGraphicFramePr>
        <xdr:cNvPr id="7" name="Gráfico 1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3</xdr:col>
      <xdr:colOff>247650</xdr:colOff>
      <xdr:row>1</xdr:row>
      <xdr:rowOff>90092</xdr:rowOff>
    </xdr:from>
    <xdr:to>
      <xdr:col>3</xdr:col>
      <xdr:colOff>1609726</xdr:colOff>
      <xdr:row>4</xdr:row>
      <xdr:rowOff>62225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534025" y="356792"/>
          <a:ext cx="1362076" cy="55315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F9C42E-6F1A-4AFD-8468-A7936F0A62CA}">
  <sheetPr codeName="Planilha1"/>
  <dimension ref="A1:N24"/>
  <sheetViews>
    <sheetView workbookViewId="0">
      <selection activeCell="G43" sqref="G43"/>
    </sheetView>
  </sheetViews>
  <sheetFormatPr defaultRowHeight="12.75" x14ac:dyDescent="0.2"/>
  <cols>
    <col min="1" max="1" width="19.28515625" customWidth="1"/>
    <col min="2" max="2" width="20.28515625" customWidth="1"/>
    <col min="3" max="3" width="7" customWidth="1"/>
    <col min="4" max="4" width="20.5703125" customWidth="1"/>
    <col min="5" max="5" width="20" customWidth="1"/>
    <col min="6" max="6" width="6.5703125" customWidth="1"/>
    <col min="7" max="7" width="20.5703125" customWidth="1"/>
    <col min="8" max="8" width="20" customWidth="1"/>
    <col min="9" max="9" width="6.42578125" customWidth="1"/>
    <col min="10" max="10" width="20.5703125" customWidth="1"/>
    <col min="11" max="11" width="20" customWidth="1"/>
    <col min="12" max="12" width="6.140625" customWidth="1"/>
    <col min="13" max="13" width="20.5703125" customWidth="1"/>
    <col min="14" max="14" width="20" customWidth="1"/>
  </cols>
  <sheetData>
    <row r="1" spans="1:14" x14ac:dyDescent="0.2">
      <c r="A1" s="89" t="s">
        <v>96</v>
      </c>
      <c r="B1" s="89"/>
      <c r="D1" s="89" t="s">
        <v>97</v>
      </c>
      <c r="E1" s="89"/>
      <c r="G1" s="89" t="s">
        <v>98</v>
      </c>
      <c r="H1" s="89"/>
      <c r="J1" s="89" t="s">
        <v>114</v>
      </c>
      <c r="K1" s="89"/>
      <c r="M1" s="89" t="s">
        <v>113</v>
      </c>
      <c r="N1" s="89"/>
    </row>
    <row r="2" spans="1:14" x14ac:dyDescent="0.2">
      <c r="A2" s="37" t="s">
        <v>37</v>
      </c>
      <c r="B2" s="37" t="s">
        <v>38</v>
      </c>
      <c r="D2" s="37" t="s">
        <v>37</v>
      </c>
      <c r="E2" s="37" t="s">
        <v>38</v>
      </c>
      <c r="G2" s="37" t="s">
        <v>37</v>
      </c>
      <c r="H2" s="37" t="s">
        <v>38</v>
      </c>
      <c r="J2" s="37" t="s">
        <v>37</v>
      </c>
      <c r="K2" s="37" t="s">
        <v>38</v>
      </c>
      <c r="M2" s="88" t="s">
        <v>37</v>
      </c>
      <c r="N2" s="88" t="s">
        <v>38</v>
      </c>
    </row>
    <row r="3" spans="1:14" x14ac:dyDescent="0.2">
      <c r="A3">
        <v>2.75</v>
      </c>
      <c r="B3">
        <v>0</v>
      </c>
      <c r="D3">
        <v>2.25</v>
      </c>
      <c r="E3">
        <v>0</v>
      </c>
      <c r="G3">
        <v>2.75</v>
      </c>
      <c r="H3">
        <v>0</v>
      </c>
      <c r="J3">
        <v>2.75</v>
      </c>
      <c r="K3">
        <v>0</v>
      </c>
      <c r="M3">
        <v>5.5</v>
      </c>
      <c r="N3">
        <v>0</v>
      </c>
    </row>
    <row r="4" spans="1:14" x14ac:dyDescent="0.2">
      <c r="A4">
        <v>11.2662</v>
      </c>
      <c r="B4">
        <v>8.9644999999999992</v>
      </c>
      <c r="D4">
        <v>11.25</v>
      </c>
      <c r="E4">
        <v>9.5</v>
      </c>
      <c r="G4">
        <v>11.25</v>
      </c>
      <c r="H4">
        <v>9.5</v>
      </c>
      <c r="J4">
        <v>11.25</v>
      </c>
      <c r="K4">
        <v>9.5</v>
      </c>
      <c r="M4">
        <v>22.5</v>
      </c>
      <c r="N4">
        <v>19</v>
      </c>
    </row>
    <row r="5" spans="1:14" x14ac:dyDescent="0.2">
      <c r="A5">
        <v>7.7307100000000002</v>
      </c>
      <c r="B5">
        <v>12.5</v>
      </c>
      <c r="D5">
        <f>D4</f>
        <v>11.25</v>
      </c>
      <c r="E5">
        <v>25</v>
      </c>
      <c r="G5">
        <f>G4</f>
        <v>11.25</v>
      </c>
      <c r="H5">
        <v>15.75</v>
      </c>
      <c r="J5">
        <f>J4</f>
        <v>11.25</v>
      </c>
      <c r="K5">
        <v>10.5</v>
      </c>
      <c r="M5">
        <v>22.5</v>
      </c>
      <c r="N5">
        <v>24</v>
      </c>
    </row>
    <row r="6" spans="1:14" x14ac:dyDescent="0.2">
      <c r="A6">
        <v>11.2662</v>
      </c>
      <c r="B6">
        <v>16.035499999999999</v>
      </c>
      <c r="D6">
        <f>-1*D5</f>
        <v>-11.25</v>
      </c>
      <c r="E6">
        <f>E5</f>
        <v>25</v>
      </c>
      <c r="G6">
        <f>G5-2.75</f>
        <v>8.5</v>
      </c>
      <c r="H6">
        <v>18.5</v>
      </c>
      <c r="J6">
        <f>J5-2.75</f>
        <v>8.5</v>
      </c>
      <c r="K6">
        <v>13.5</v>
      </c>
      <c r="M6">
        <v>16.5</v>
      </c>
      <c r="N6">
        <v>30</v>
      </c>
    </row>
    <row r="7" spans="1:14" x14ac:dyDescent="0.2">
      <c r="A7">
        <v>2.75</v>
      </c>
      <c r="B7">
        <v>25</v>
      </c>
      <c r="D7">
        <f>-1*D4</f>
        <v>-11.25</v>
      </c>
      <c r="E7">
        <f>E4</f>
        <v>9.5</v>
      </c>
      <c r="G7">
        <f>G6+2.75</f>
        <v>11.25</v>
      </c>
      <c r="H7">
        <v>21.25</v>
      </c>
      <c r="J7">
        <f>J6+2.75</f>
        <v>11.25</v>
      </c>
      <c r="K7">
        <v>16.5</v>
      </c>
      <c r="M7">
        <v>22.5</v>
      </c>
      <c r="N7">
        <v>36</v>
      </c>
    </row>
    <row r="8" spans="1:14" x14ac:dyDescent="0.2">
      <c r="A8">
        <f>-1*A7</f>
        <v>-2.75</v>
      </c>
      <c r="B8">
        <f>B7</f>
        <v>25</v>
      </c>
      <c r="D8">
        <f>-1*D3</f>
        <v>-2.25</v>
      </c>
      <c r="E8">
        <f>E3</f>
        <v>0</v>
      </c>
      <c r="G8">
        <f>G7</f>
        <v>11.25</v>
      </c>
      <c r="H8">
        <v>25</v>
      </c>
      <c r="J8">
        <f>J7</f>
        <v>11.25</v>
      </c>
      <c r="K8">
        <v>24.5</v>
      </c>
      <c r="M8">
        <v>22.5</v>
      </c>
      <c r="N8">
        <v>49</v>
      </c>
    </row>
    <row r="9" spans="1:14" x14ac:dyDescent="0.2">
      <c r="A9">
        <f>-1*A6</f>
        <v>-11.2662</v>
      </c>
      <c r="B9">
        <f>B6</f>
        <v>16.035499999999999</v>
      </c>
      <c r="D9">
        <f>D3</f>
        <v>2.25</v>
      </c>
      <c r="E9">
        <f>E3</f>
        <v>0</v>
      </c>
      <c r="G9">
        <f>-1*G8</f>
        <v>-11.25</v>
      </c>
      <c r="H9">
        <f>H8</f>
        <v>25</v>
      </c>
      <c r="J9">
        <v>10.75</v>
      </c>
      <c r="K9">
        <v>25</v>
      </c>
      <c r="M9">
        <v>21.5</v>
      </c>
      <c r="N9">
        <v>50</v>
      </c>
    </row>
    <row r="10" spans="1:14" x14ac:dyDescent="0.2">
      <c r="A10">
        <f>-1*A5</f>
        <v>-7.7307100000000002</v>
      </c>
      <c r="B10">
        <f>B5</f>
        <v>12.5</v>
      </c>
      <c r="G10">
        <f>-1*G7</f>
        <v>-11.25</v>
      </c>
      <c r="H10">
        <f>H7</f>
        <v>21.25</v>
      </c>
      <c r="J10">
        <f>-1*J9</f>
        <v>-10.75</v>
      </c>
      <c r="K10">
        <f>K9</f>
        <v>25</v>
      </c>
      <c r="M10">
        <f>-1*M9</f>
        <v>-21.5</v>
      </c>
      <c r="N10">
        <f>N9</f>
        <v>50</v>
      </c>
    </row>
    <row r="11" spans="1:14" x14ac:dyDescent="0.2">
      <c r="A11">
        <f>-1*A4</f>
        <v>-11.2662</v>
      </c>
      <c r="B11">
        <f>B4</f>
        <v>8.9644999999999992</v>
      </c>
      <c r="G11">
        <f>-1*G6</f>
        <v>-8.5</v>
      </c>
      <c r="H11">
        <f>H6</f>
        <v>18.5</v>
      </c>
      <c r="J11">
        <f>-1*J8</f>
        <v>-11.25</v>
      </c>
      <c r="K11">
        <f>K8</f>
        <v>24.5</v>
      </c>
      <c r="M11">
        <f>-1*M8</f>
        <v>-22.5</v>
      </c>
      <c r="N11">
        <f>N8</f>
        <v>49</v>
      </c>
    </row>
    <row r="12" spans="1:14" x14ac:dyDescent="0.2">
      <c r="A12">
        <f>-1*A3</f>
        <v>-2.75</v>
      </c>
      <c r="B12">
        <f>B3</f>
        <v>0</v>
      </c>
      <c r="G12">
        <f>-1*G5</f>
        <v>-11.25</v>
      </c>
      <c r="H12">
        <f>H5</f>
        <v>15.75</v>
      </c>
      <c r="J12">
        <f>-1*J7</f>
        <v>-11.25</v>
      </c>
      <c r="K12">
        <f>K7</f>
        <v>16.5</v>
      </c>
      <c r="M12">
        <f>-1*M7</f>
        <v>-22.5</v>
      </c>
      <c r="N12">
        <f>N7</f>
        <v>36</v>
      </c>
    </row>
    <row r="13" spans="1:14" x14ac:dyDescent="0.2">
      <c r="A13">
        <f>A3</f>
        <v>2.75</v>
      </c>
      <c r="B13">
        <f>B3</f>
        <v>0</v>
      </c>
      <c r="G13">
        <f>-1*G4</f>
        <v>-11.25</v>
      </c>
      <c r="H13">
        <f>H4</f>
        <v>9.5</v>
      </c>
      <c r="J13">
        <f>-1*J6</f>
        <v>-8.5</v>
      </c>
      <c r="K13">
        <f>K6</f>
        <v>13.5</v>
      </c>
      <c r="M13">
        <f>-1*M6</f>
        <v>-16.5</v>
      </c>
      <c r="N13">
        <f>N6</f>
        <v>30</v>
      </c>
    </row>
    <row r="14" spans="1:14" x14ac:dyDescent="0.2">
      <c r="G14">
        <f>-1*G3</f>
        <v>-2.75</v>
      </c>
      <c r="H14">
        <f>H3</f>
        <v>0</v>
      </c>
      <c r="J14">
        <f>-1*J5</f>
        <v>-11.25</v>
      </c>
      <c r="K14">
        <f>K5</f>
        <v>10.5</v>
      </c>
      <c r="M14">
        <f>-1*M5</f>
        <v>-22.5</v>
      </c>
      <c r="N14">
        <f>N5</f>
        <v>24</v>
      </c>
    </row>
    <row r="15" spans="1:14" x14ac:dyDescent="0.2">
      <c r="G15">
        <f>G3</f>
        <v>2.75</v>
      </c>
      <c r="H15">
        <f>H3</f>
        <v>0</v>
      </c>
      <c r="J15">
        <f>-1*J4</f>
        <v>-11.25</v>
      </c>
      <c r="K15">
        <f>K4</f>
        <v>9.5</v>
      </c>
      <c r="M15">
        <f>-1*M4</f>
        <v>-22.5</v>
      </c>
      <c r="N15">
        <f>N4</f>
        <v>19</v>
      </c>
    </row>
    <row r="16" spans="1:14" x14ac:dyDescent="0.2">
      <c r="J16">
        <f>-1*J3</f>
        <v>-2.75</v>
      </c>
      <c r="K16">
        <f>K3</f>
        <v>0</v>
      </c>
      <c r="M16">
        <f>-1*M3</f>
        <v>-5.5</v>
      </c>
      <c r="N16">
        <f>N3</f>
        <v>0</v>
      </c>
    </row>
    <row r="17" spans="7:14" x14ac:dyDescent="0.2">
      <c r="J17">
        <f>J3</f>
        <v>2.75</v>
      </c>
      <c r="K17">
        <f>K3</f>
        <v>0</v>
      </c>
      <c r="M17">
        <f>M3</f>
        <v>5.5</v>
      </c>
      <c r="N17">
        <f>N3</f>
        <v>0</v>
      </c>
    </row>
    <row r="24" spans="7:14" x14ac:dyDescent="0.2">
      <c r="G24" s="36"/>
    </row>
  </sheetData>
  <mergeCells count="5">
    <mergeCell ref="A1:B1"/>
    <mergeCell ref="D1:E1"/>
    <mergeCell ref="G1:H1"/>
    <mergeCell ref="J1:K1"/>
    <mergeCell ref="M1:N1"/>
  </mergeCell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58E918-8C08-4B55-AFFC-9C20D2E5009F}">
  <sheetPr codeName="Planilha2"/>
  <dimension ref="A1:T44"/>
  <sheetViews>
    <sheetView workbookViewId="0">
      <selection activeCell="K4" sqref="K4"/>
    </sheetView>
  </sheetViews>
  <sheetFormatPr defaultRowHeight="12.75" x14ac:dyDescent="0.2"/>
  <cols>
    <col min="1" max="1" width="7" bestFit="1" customWidth="1"/>
    <col min="2" max="2" width="11.28515625" bestFit="1" customWidth="1"/>
    <col min="3" max="3" width="10.7109375" bestFit="1" customWidth="1"/>
    <col min="4" max="4" width="26" bestFit="1" customWidth="1"/>
    <col min="10" max="10" width="9.140625" customWidth="1"/>
    <col min="11" max="11" width="7" bestFit="1" customWidth="1"/>
    <col min="12" max="12" width="11.28515625" bestFit="1" customWidth="1"/>
    <col min="13" max="13" width="10.7109375" bestFit="1" customWidth="1"/>
    <col min="14" max="14" width="26" bestFit="1" customWidth="1"/>
    <col min="18" max="18" width="7.140625" customWidth="1"/>
    <col min="20" max="20" width="9.140625" customWidth="1"/>
  </cols>
  <sheetData>
    <row r="1" spans="1:20" ht="21" customHeight="1" x14ac:dyDescent="0.4">
      <c r="A1" s="94" t="s">
        <v>24</v>
      </c>
      <c r="B1" s="95"/>
      <c r="C1" s="95"/>
      <c r="D1" s="95"/>
      <c r="E1" s="95"/>
      <c r="F1" s="95"/>
      <c r="G1" s="95"/>
      <c r="H1" s="95"/>
      <c r="I1" s="96"/>
      <c r="J1" s="10"/>
      <c r="K1" s="94" t="s">
        <v>33</v>
      </c>
      <c r="L1" s="95"/>
      <c r="M1" s="95"/>
      <c r="N1" s="95"/>
      <c r="O1" s="95"/>
      <c r="P1" s="95"/>
      <c r="Q1" s="95"/>
      <c r="R1" s="95"/>
      <c r="S1" s="96"/>
      <c r="T1" s="10"/>
    </row>
    <row r="2" spans="1:20" x14ac:dyDescent="0.2">
      <c r="A2" s="11"/>
      <c r="B2" s="12"/>
      <c r="C2" s="12"/>
      <c r="D2" s="12"/>
      <c r="E2" s="12"/>
      <c r="F2" s="12"/>
      <c r="G2" s="12"/>
      <c r="H2" s="12"/>
      <c r="I2" s="13"/>
      <c r="K2" s="11"/>
      <c r="L2" s="12"/>
      <c r="M2" s="12"/>
      <c r="N2" s="12"/>
      <c r="O2" s="12"/>
      <c r="P2" s="12"/>
      <c r="Q2" s="12"/>
      <c r="R2" s="12"/>
      <c r="S2" s="13"/>
    </row>
    <row r="3" spans="1:20" ht="15.75" x14ac:dyDescent="0.25">
      <c r="A3" s="11"/>
      <c r="B3" s="12"/>
      <c r="C3" s="12"/>
      <c r="D3" s="8" t="s">
        <v>25</v>
      </c>
      <c r="E3" s="90">
        <v>2.4</v>
      </c>
      <c r="F3" s="90"/>
      <c r="G3" s="12"/>
      <c r="H3" s="12"/>
      <c r="I3" s="13"/>
      <c r="K3" s="11"/>
      <c r="L3" s="12"/>
      <c r="M3" s="12"/>
      <c r="N3" s="8" t="s">
        <v>25</v>
      </c>
      <c r="O3" s="90">
        <v>2.4</v>
      </c>
      <c r="P3" s="90"/>
      <c r="Q3" s="12"/>
      <c r="R3" s="12"/>
      <c r="S3" s="13"/>
    </row>
    <row r="4" spans="1:20" ht="15.75" x14ac:dyDescent="0.25">
      <c r="A4" s="11"/>
      <c r="B4" s="12"/>
      <c r="C4" s="12"/>
      <c r="D4" s="9" t="s">
        <v>26</v>
      </c>
      <c r="E4" s="91">
        <f xml:space="preserve"> ROUNDUP((-0.1034*(E3/2)^3 + 0.7783*(E3/2)^2 + 0.109*(E3/2) + 3.1763)*2,2)</f>
        <v>8.5</v>
      </c>
      <c r="F4" s="91"/>
      <c r="G4" s="12"/>
      <c r="H4" s="12"/>
      <c r="I4" s="13"/>
      <c r="K4" s="11"/>
      <c r="L4" s="12"/>
      <c r="M4" s="12"/>
      <c r="N4" s="9" t="s">
        <v>26</v>
      </c>
      <c r="O4" s="91">
        <f xml:space="preserve"> ROUNDUP((-0.00008*(O3/2)^3 + 0.0184*(O3/2)^2 - 0.00008*(O3/2) + 11.542)*2,2)</f>
        <v>23.14</v>
      </c>
      <c r="P4" s="91"/>
      <c r="Q4" s="12"/>
      <c r="R4" s="12"/>
      <c r="S4" s="13"/>
    </row>
    <row r="5" spans="1:20" ht="15.75" x14ac:dyDescent="0.25">
      <c r="A5" s="11"/>
      <c r="B5" s="12"/>
      <c r="C5" s="12"/>
      <c r="D5" s="9" t="s">
        <v>27</v>
      </c>
      <c r="E5" s="92">
        <f>ROUNDUP((-0.045*(E3/2)^3 + 0.3642*(E3/2)^2 + 0.0265*(E3/2) + 1.9042)*2,2)</f>
        <v>4.7699999999999996</v>
      </c>
      <c r="F5" s="93"/>
      <c r="G5" s="12"/>
      <c r="H5" s="12"/>
      <c r="I5" s="13"/>
      <c r="K5" s="11"/>
      <c r="L5" s="12"/>
      <c r="M5" s="12"/>
      <c r="N5" s="9" t="s">
        <v>27</v>
      </c>
      <c r="O5" s="92">
        <f>ROUNDUP((-0.008*(O3/2)^3 + 0.1233*(O3/2)^2 - 0.0051*(O3/2) + 2.8442)*2,2)</f>
        <v>6.01</v>
      </c>
      <c r="P5" s="93"/>
      <c r="Q5" s="12"/>
      <c r="R5" s="12"/>
      <c r="S5" s="13"/>
    </row>
    <row r="6" spans="1:20" x14ac:dyDescent="0.2">
      <c r="A6" s="11"/>
      <c r="B6" s="12"/>
      <c r="C6" s="12"/>
      <c r="D6" s="14"/>
      <c r="E6" s="12"/>
      <c r="F6" s="12"/>
      <c r="G6" s="12"/>
      <c r="H6" s="12"/>
      <c r="I6" s="13"/>
      <c r="K6" s="11"/>
      <c r="L6" s="12"/>
      <c r="M6" s="12"/>
      <c r="N6" s="14"/>
      <c r="O6" s="12"/>
      <c r="P6" s="12"/>
      <c r="Q6" s="12"/>
      <c r="R6" s="12"/>
      <c r="S6" s="13"/>
    </row>
    <row r="7" spans="1:20" x14ac:dyDescent="0.2">
      <c r="A7" s="15" t="s">
        <v>21</v>
      </c>
      <c r="B7" s="6" t="s">
        <v>22</v>
      </c>
      <c r="C7" s="6" t="s">
        <v>23</v>
      </c>
      <c r="D7" s="12"/>
      <c r="E7" s="12"/>
      <c r="F7" s="12"/>
      <c r="G7" s="12"/>
      <c r="H7" s="12"/>
      <c r="I7" s="13"/>
      <c r="K7" s="15" t="s">
        <v>21</v>
      </c>
      <c r="L7" s="6" t="s">
        <v>22</v>
      </c>
      <c r="M7" s="6" t="s">
        <v>23</v>
      </c>
      <c r="N7" s="12"/>
      <c r="O7" s="12"/>
      <c r="P7" s="12"/>
      <c r="Q7" s="12"/>
      <c r="R7" s="12"/>
      <c r="S7" s="13"/>
    </row>
    <row r="8" spans="1:20" x14ac:dyDescent="0.2">
      <c r="A8" s="16">
        <v>0</v>
      </c>
      <c r="B8" s="7">
        <v>3.1895799999999999</v>
      </c>
      <c r="C8" s="7">
        <v>1.9079600000000001</v>
      </c>
      <c r="D8" s="12"/>
      <c r="E8" s="12"/>
      <c r="F8" s="12"/>
      <c r="G8" s="12"/>
      <c r="H8" s="12"/>
      <c r="I8" s="13"/>
      <c r="K8" s="20">
        <v>0</v>
      </c>
      <c r="L8" s="5">
        <v>11.54238</v>
      </c>
      <c r="M8" s="5">
        <v>2.8438699999999999</v>
      </c>
      <c r="N8" s="12"/>
      <c r="O8" s="12"/>
      <c r="P8" s="12"/>
      <c r="Q8" s="12"/>
      <c r="R8" s="12"/>
      <c r="S8" s="13"/>
    </row>
    <row r="9" spans="1:20" x14ac:dyDescent="0.2">
      <c r="A9" s="16">
        <v>0</v>
      </c>
      <c r="B9" s="7">
        <v>3.1895799999999999</v>
      </c>
      <c r="C9" s="7">
        <v>1.9079600000000001</v>
      </c>
      <c r="D9" s="12"/>
      <c r="E9" s="12"/>
      <c r="F9" s="12"/>
      <c r="G9" s="12"/>
      <c r="H9" s="12"/>
      <c r="I9" s="13"/>
      <c r="K9" s="20">
        <v>0</v>
      </c>
      <c r="L9" s="5">
        <v>11.54238</v>
      </c>
      <c r="M9" s="5">
        <v>2.8438699999999999</v>
      </c>
      <c r="N9" s="12"/>
      <c r="O9" s="12"/>
      <c r="P9" s="12"/>
      <c r="Q9" s="12"/>
      <c r="R9" s="12"/>
      <c r="S9" s="13"/>
    </row>
    <row r="10" spans="1:20" x14ac:dyDescent="0.2">
      <c r="A10" s="16">
        <v>0.1</v>
      </c>
      <c r="B10" s="7">
        <v>3.1982200000000001</v>
      </c>
      <c r="C10" s="7">
        <v>1.91168</v>
      </c>
      <c r="D10" s="12"/>
      <c r="E10" s="12"/>
      <c r="F10" s="12"/>
      <c r="G10" s="12"/>
      <c r="H10" s="12"/>
      <c r="I10" s="13"/>
      <c r="K10" s="20">
        <v>0</v>
      </c>
      <c r="L10" s="5">
        <v>11.54238</v>
      </c>
      <c r="M10" s="5">
        <v>2.8438699999999999</v>
      </c>
      <c r="N10" s="12"/>
      <c r="O10" s="12"/>
      <c r="P10" s="12"/>
      <c r="Q10" s="12"/>
      <c r="R10" s="12"/>
      <c r="S10" s="13"/>
    </row>
    <row r="11" spans="1:20" x14ac:dyDescent="0.2">
      <c r="A11" s="16">
        <v>0.2</v>
      </c>
      <c r="B11" s="7">
        <v>3.2240099999999998</v>
      </c>
      <c r="C11" s="7">
        <v>1.9228099999999999</v>
      </c>
      <c r="D11" s="12"/>
      <c r="E11" s="12"/>
      <c r="F11" s="12"/>
      <c r="G11" s="12"/>
      <c r="H11" s="12"/>
      <c r="I11" s="13"/>
      <c r="K11" s="20">
        <v>9.5750000000000002E-2</v>
      </c>
      <c r="L11" s="5">
        <v>11.54255</v>
      </c>
      <c r="M11" s="5">
        <v>2.8449</v>
      </c>
      <c r="N11" s="12"/>
      <c r="O11" s="12"/>
      <c r="P11" s="12"/>
      <c r="Q11" s="12"/>
      <c r="R11" s="12"/>
      <c r="S11" s="13"/>
    </row>
    <row r="12" spans="1:20" x14ac:dyDescent="0.2">
      <c r="A12" s="16">
        <v>0.3</v>
      </c>
      <c r="B12" s="7">
        <v>3.26654</v>
      </c>
      <c r="C12" s="7">
        <v>1.9412100000000001</v>
      </c>
      <c r="D12" s="12"/>
      <c r="E12" s="12"/>
      <c r="F12" s="12"/>
      <c r="G12" s="12"/>
      <c r="H12" s="12"/>
      <c r="I12" s="13"/>
      <c r="K12" s="20">
        <v>0.1915</v>
      </c>
      <c r="L12" s="5">
        <v>11.543049999999999</v>
      </c>
      <c r="M12" s="5">
        <v>2.8479899999999998</v>
      </c>
      <c r="N12" s="12"/>
      <c r="O12" s="12"/>
      <c r="P12" s="12"/>
      <c r="Q12" s="12"/>
      <c r="R12" s="12"/>
      <c r="S12" s="13"/>
    </row>
    <row r="13" spans="1:20" x14ac:dyDescent="0.2">
      <c r="A13" s="16">
        <v>0.4</v>
      </c>
      <c r="B13" s="7">
        <v>3.32517</v>
      </c>
      <c r="C13" s="7">
        <v>1.96669</v>
      </c>
      <c r="D13" s="12"/>
      <c r="E13" s="12"/>
      <c r="F13" s="12"/>
      <c r="G13" s="12"/>
      <c r="H13" s="12"/>
      <c r="I13" s="13"/>
      <c r="K13" s="20">
        <v>0.28725000000000001</v>
      </c>
      <c r="L13" s="5">
        <v>11.543889999999999</v>
      </c>
      <c r="M13" s="5">
        <v>2.8531399999999998</v>
      </c>
      <c r="N13" s="12"/>
      <c r="O13" s="12"/>
      <c r="P13" s="12"/>
      <c r="Q13" s="12"/>
      <c r="R13" s="12"/>
      <c r="S13" s="13"/>
    </row>
    <row r="14" spans="1:20" x14ac:dyDescent="0.2">
      <c r="A14" s="16">
        <v>0.5</v>
      </c>
      <c r="B14" s="7">
        <v>3.39906</v>
      </c>
      <c r="C14" s="7">
        <v>1.9989600000000001</v>
      </c>
      <c r="D14" s="12"/>
      <c r="E14" s="12"/>
      <c r="F14" s="12"/>
      <c r="G14" s="12"/>
      <c r="H14" s="12"/>
      <c r="I14" s="13"/>
      <c r="K14" s="20">
        <v>0.38300000000000001</v>
      </c>
      <c r="L14" s="5">
        <v>11.545059999999999</v>
      </c>
      <c r="M14" s="5">
        <v>2.8603299999999998</v>
      </c>
      <c r="N14" s="12"/>
      <c r="O14" s="12"/>
      <c r="P14" s="12"/>
      <c r="Q14" s="12"/>
      <c r="R14" s="12"/>
      <c r="S14" s="13"/>
    </row>
    <row r="15" spans="1:20" x14ac:dyDescent="0.2">
      <c r="A15" s="16">
        <v>0.6</v>
      </c>
      <c r="B15" s="7">
        <v>3.48725</v>
      </c>
      <c r="C15" s="7">
        <v>2.0377200000000002</v>
      </c>
      <c r="D15" s="12"/>
      <c r="E15" s="12"/>
      <c r="F15" s="12"/>
      <c r="G15" s="12"/>
      <c r="H15" s="12"/>
      <c r="I15" s="13"/>
      <c r="K15" s="20">
        <v>0.47875000000000001</v>
      </c>
      <c r="L15" s="5">
        <v>11.546569999999999</v>
      </c>
      <c r="M15" s="5">
        <v>2.8695499999999998</v>
      </c>
      <c r="N15" s="12"/>
      <c r="O15" s="12"/>
      <c r="P15" s="12"/>
      <c r="Q15" s="12"/>
      <c r="R15" s="12"/>
      <c r="S15" s="13"/>
    </row>
    <row r="16" spans="1:20" x14ac:dyDescent="0.2">
      <c r="A16" s="16">
        <v>0.7</v>
      </c>
      <c r="B16" s="7">
        <v>3.5886800000000001</v>
      </c>
      <c r="C16" s="7">
        <v>2.0825900000000002</v>
      </c>
      <c r="D16" s="12"/>
      <c r="E16" s="12"/>
      <c r="F16" s="12"/>
      <c r="G16" s="12"/>
      <c r="H16" s="12"/>
      <c r="I16" s="13"/>
      <c r="K16" s="20">
        <v>0.57450000000000001</v>
      </c>
      <c r="L16" s="5">
        <v>11.548410000000001</v>
      </c>
      <c r="M16" s="5">
        <v>2.8807800000000001</v>
      </c>
      <c r="N16" s="12"/>
      <c r="O16" s="12"/>
      <c r="P16" s="12"/>
      <c r="Q16" s="12"/>
      <c r="R16" s="12"/>
      <c r="S16" s="13"/>
    </row>
    <row r="17" spans="1:19" x14ac:dyDescent="0.2">
      <c r="A17" s="16">
        <v>0.8</v>
      </c>
      <c r="B17" s="7">
        <v>3.7022699999999999</v>
      </c>
      <c r="C17" s="7">
        <v>2.1331899999999999</v>
      </c>
      <c r="D17" s="12"/>
      <c r="E17" s="12"/>
      <c r="F17" s="12"/>
      <c r="G17" s="12"/>
      <c r="H17" s="12"/>
      <c r="I17" s="13"/>
      <c r="K17" s="20">
        <v>0.67025000000000001</v>
      </c>
      <c r="L17" s="5">
        <v>11.55059</v>
      </c>
      <c r="M17" s="5">
        <v>2.8939900000000001</v>
      </c>
      <c r="N17" s="12"/>
      <c r="O17" s="12"/>
      <c r="P17" s="12"/>
      <c r="Q17" s="12"/>
      <c r="R17" s="12"/>
      <c r="S17" s="13"/>
    </row>
    <row r="18" spans="1:19" x14ac:dyDescent="0.2">
      <c r="A18" s="16">
        <v>0.9</v>
      </c>
      <c r="B18" s="7">
        <v>3.8269199999999999</v>
      </c>
      <c r="C18" s="7">
        <v>2.18913</v>
      </c>
      <c r="D18" s="12"/>
      <c r="E18" s="12"/>
      <c r="F18" s="12"/>
      <c r="G18" s="12"/>
      <c r="H18" s="12"/>
      <c r="I18" s="13"/>
      <c r="K18" s="20">
        <v>0.76600000000000001</v>
      </c>
      <c r="L18" s="5">
        <v>11.553089999999999</v>
      </c>
      <c r="M18" s="5">
        <v>2.90916</v>
      </c>
      <c r="N18" s="12"/>
      <c r="O18" s="12"/>
      <c r="P18" s="12"/>
      <c r="Q18" s="12"/>
      <c r="R18" s="12"/>
      <c r="S18" s="13"/>
    </row>
    <row r="19" spans="1:19" x14ac:dyDescent="0.2">
      <c r="A19" s="16">
        <v>1</v>
      </c>
      <c r="B19" s="7">
        <v>3.9615999999999998</v>
      </c>
      <c r="C19" s="7">
        <v>2.25</v>
      </c>
      <c r="D19" s="12"/>
      <c r="E19" s="12"/>
      <c r="F19" s="12"/>
      <c r="G19" s="12"/>
      <c r="H19" s="12"/>
      <c r="I19" s="13"/>
      <c r="K19" s="20">
        <v>0.86175000000000002</v>
      </c>
      <c r="L19" s="5">
        <v>11.55594</v>
      </c>
      <c r="M19" s="5">
        <v>2.92625</v>
      </c>
      <c r="N19" s="12"/>
      <c r="O19" s="12"/>
      <c r="P19" s="12"/>
      <c r="Q19" s="12"/>
      <c r="R19" s="12"/>
      <c r="S19" s="13"/>
    </row>
    <row r="20" spans="1:19" x14ac:dyDescent="0.2">
      <c r="A20" s="16">
        <v>1</v>
      </c>
      <c r="B20" s="7">
        <v>3.9615999999999998</v>
      </c>
      <c r="C20" s="7">
        <v>2.25</v>
      </c>
      <c r="D20" s="12"/>
      <c r="E20" s="12"/>
      <c r="F20" s="12"/>
      <c r="G20" s="12"/>
      <c r="H20" s="12"/>
      <c r="I20" s="13"/>
      <c r="K20" s="20">
        <v>0.95750000000000002</v>
      </c>
      <c r="L20" s="5">
        <v>11.55912</v>
      </c>
      <c r="M20" s="5">
        <v>2.9452500000000001</v>
      </c>
      <c r="N20" s="12"/>
      <c r="O20" s="12"/>
      <c r="P20" s="12"/>
      <c r="Q20" s="12"/>
      <c r="R20" s="12"/>
      <c r="S20" s="13"/>
    </row>
    <row r="21" spans="1:19" x14ac:dyDescent="0.2">
      <c r="A21" s="16">
        <v>1.1000000000000001</v>
      </c>
      <c r="B21" s="7">
        <v>4.1053199999999999</v>
      </c>
      <c r="C21" s="7">
        <v>2.31542</v>
      </c>
      <c r="D21" s="12"/>
      <c r="E21" s="12"/>
      <c r="F21" s="12"/>
      <c r="G21" s="12"/>
      <c r="H21" s="12"/>
      <c r="I21" s="13"/>
      <c r="K21" s="20">
        <v>1.05325</v>
      </c>
      <c r="L21" s="5">
        <v>11.56263</v>
      </c>
      <c r="M21" s="5">
        <v>2.9661</v>
      </c>
      <c r="N21" s="12"/>
      <c r="O21" s="12"/>
      <c r="P21" s="12"/>
      <c r="Q21" s="12"/>
      <c r="R21" s="12"/>
      <c r="S21" s="13"/>
    </row>
    <row r="22" spans="1:19" x14ac:dyDescent="0.2">
      <c r="A22" s="16">
        <v>1.2</v>
      </c>
      <c r="B22" s="7">
        <v>4.2571700000000003</v>
      </c>
      <c r="C22" s="7">
        <v>2.3850099999999999</v>
      </c>
      <c r="D22" s="12"/>
      <c r="E22" s="12"/>
      <c r="F22" s="12"/>
      <c r="G22" s="12"/>
      <c r="H22" s="12"/>
      <c r="I22" s="13"/>
      <c r="K22" s="20">
        <v>1.149</v>
      </c>
      <c r="L22" s="5">
        <v>11.566470000000001</v>
      </c>
      <c r="M22" s="5">
        <v>2.9887600000000001</v>
      </c>
      <c r="N22" s="12"/>
      <c r="O22" s="12"/>
      <c r="P22" s="12"/>
      <c r="Q22" s="12"/>
      <c r="R22" s="12"/>
      <c r="S22" s="13"/>
    </row>
    <row r="23" spans="1:19" x14ac:dyDescent="0.2">
      <c r="A23" s="16">
        <v>1.3</v>
      </c>
      <c r="B23" s="7">
        <v>4.4162999999999997</v>
      </c>
      <c r="C23" s="7">
        <v>2.4584199999999998</v>
      </c>
      <c r="D23" s="12"/>
      <c r="E23" s="12"/>
      <c r="F23" s="12"/>
      <c r="G23" s="12"/>
      <c r="H23" s="12"/>
      <c r="I23" s="13"/>
      <c r="K23" s="20">
        <v>1.24475</v>
      </c>
      <c r="L23" s="5">
        <v>11.570650000000001</v>
      </c>
      <c r="M23" s="5">
        <v>3.0132099999999999</v>
      </c>
      <c r="N23" s="12"/>
      <c r="O23" s="12"/>
      <c r="P23" s="12"/>
      <c r="Q23" s="12"/>
      <c r="R23" s="12"/>
      <c r="S23" s="13"/>
    </row>
    <row r="24" spans="1:19" x14ac:dyDescent="0.2">
      <c r="A24" s="16">
        <v>1.4</v>
      </c>
      <c r="B24" s="7">
        <v>4.5819599999999996</v>
      </c>
      <c r="C24" s="7">
        <v>2.53531</v>
      </c>
      <c r="D24" s="12"/>
      <c r="E24" s="12"/>
      <c r="F24" s="12"/>
      <c r="G24" s="12"/>
      <c r="H24" s="12"/>
      <c r="I24" s="13"/>
      <c r="K24" s="20">
        <v>1.3405</v>
      </c>
      <c r="L24" s="5">
        <v>11.575150000000001</v>
      </c>
      <c r="M24" s="5">
        <v>3.03939</v>
      </c>
      <c r="N24" s="12"/>
      <c r="O24" s="12"/>
      <c r="P24" s="12"/>
      <c r="Q24" s="12"/>
      <c r="R24" s="12"/>
      <c r="S24" s="13"/>
    </row>
    <row r="25" spans="1:19" x14ac:dyDescent="0.2">
      <c r="A25" s="16">
        <v>1.5</v>
      </c>
      <c r="B25" s="7">
        <v>4.7534599999999996</v>
      </c>
      <c r="C25" s="7">
        <v>2.6153900000000001</v>
      </c>
      <c r="D25" s="12"/>
      <c r="E25" s="12"/>
      <c r="F25" s="12"/>
      <c r="G25" s="12"/>
      <c r="H25" s="12"/>
      <c r="I25" s="13"/>
      <c r="K25" s="20">
        <v>1.43625</v>
      </c>
      <c r="L25" s="5">
        <v>11.57999</v>
      </c>
      <c r="M25" s="5">
        <v>3.0672600000000001</v>
      </c>
      <c r="N25" s="12"/>
      <c r="O25" s="12"/>
      <c r="P25" s="12"/>
      <c r="Q25" s="12"/>
      <c r="R25" s="12"/>
      <c r="S25" s="13"/>
    </row>
    <row r="26" spans="1:19" x14ac:dyDescent="0.2">
      <c r="A26" s="16">
        <v>1.5989</v>
      </c>
      <c r="B26" s="7">
        <v>4.9282300000000001</v>
      </c>
      <c r="C26" s="7">
        <v>2.6974300000000002</v>
      </c>
      <c r="D26" s="12"/>
      <c r="E26" s="12"/>
      <c r="F26" s="12"/>
      <c r="G26" s="12"/>
      <c r="H26" s="12"/>
      <c r="I26" s="13"/>
      <c r="K26" s="20">
        <v>1.532</v>
      </c>
      <c r="L26" s="5">
        <v>11.58517</v>
      </c>
      <c r="M26" s="5">
        <v>3.0967799999999999</v>
      </c>
      <c r="N26" s="12"/>
      <c r="O26" s="12"/>
      <c r="P26" s="12"/>
      <c r="Q26" s="12"/>
      <c r="R26" s="12"/>
      <c r="S26" s="13"/>
    </row>
    <row r="27" spans="1:19" x14ac:dyDescent="0.2">
      <c r="A27" s="16">
        <v>1.6978</v>
      </c>
      <c r="B27" s="7">
        <v>5.1075900000000001</v>
      </c>
      <c r="C27" s="7">
        <v>2.7820499999999999</v>
      </c>
      <c r="D27" s="12"/>
      <c r="E27" s="12"/>
      <c r="F27" s="12"/>
      <c r="G27" s="12"/>
      <c r="H27" s="12"/>
      <c r="I27" s="13"/>
      <c r="K27" s="20">
        <v>1.62775</v>
      </c>
      <c r="L27" s="5">
        <v>11.590669999999999</v>
      </c>
      <c r="M27" s="5">
        <v>3.1278899999999998</v>
      </c>
      <c r="N27" s="12"/>
      <c r="O27" s="12"/>
      <c r="P27" s="12"/>
      <c r="Q27" s="12"/>
      <c r="R27" s="12"/>
      <c r="S27" s="13"/>
    </row>
    <row r="28" spans="1:19" x14ac:dyDescent="0.2">
      <c r="A28" s="16">
        <v>1.7967</v>
      </c>
      <c r="B28" s="7">
        <v>5.29108</v>
      </c>
      <c r="C28" s="7">
        <v>2.86903</v>
      </c>
      <c r="D28" s="12"/>
      <c r="E28" s="12"/>
      <c r="F28" s="12"/>
      <c r="G28" s="12"/>
      <c r="H28" s="12"/>
      <c r="I28" s="13"/>
      <c r="K28" s="20">
        <v>1.7235</v>
      </c>
      <c r="L28" s="5">
        <v>11.596500000000001</v>
      </c>
      <c r="M28" s="5">
        <v>3.1605500000000002</v>
      </c>
      <c r="N28" s="12"/>
      <c r="O28" s="12"/>
      <c r="P28" s="12"/>
      <c r="Q28" s="12"/>
      <c r="R28" s="12"/>
      <c r="S28" s="13"/>
    </row>
    <row r="29" spans="1:19" x14ac:dyDescent="0.2">
      <c r="A29" s="16">
        <v>1.8956</v>
      </c>
      <c r="B29" s="7">
        <v>5.4782799999999998</v>
      </c>
      <c r="C29" s="7">
        <v>2.9581499999999998</v>
      </c>
      <c r="D29" s="12"/>
      <c r="E29" s="12"/>
      <c r="F29" s="12"/>
      <c r="G29" s="12"/>
      <c r="H29" s="12"/>
      <c r="I29" s="13"/>
      <c r="K29" s="20">
        <v>1.81925</v>
      </c>
      <c r="L29" s="5">
        <v>11.60267</v>
      </c>
      <c r="M29" s="5">
        <v>3.1947199999999998</v>
      </c>
      <c r="N29" s="12"/>
      <c r="O29" s="12"/>
      <c r="P29" s="12"/>
      <c r="Q29" s="12"/>
      <c r="R29" s="12"/>
      <c r="S29" s="13"/>
    </row>
    <row r="30" spans="1:19" x14ac:dyDescent="0.2">
      <c r="A30" s="16">
        <v>1.9944999999999999</v>
      </c>
      <c r="B30" s="7">
        <v>5.6688299999999998</v>
      </c>
      <c r="C30" s="7">
        <v>3.0492400000000002</v>
      </c>
      <c r="D30" s="12"/>
      <c r="E30" s="12"/>
      <c r="F30" s="12"/>
      <c r="G30" s="12"/>
      <c r="H30" s="12"/>
      <c r="I30" s="13"/>
      <c r="K30" s="20">
        <v>1.915</v>
      </c>
      <c r="L30" s="5">
        <v>11.609159999999999</v>
      </c>
      <c r="M30" s="5">
        <v>3.2303500000000001</v>
      </c>
      <c r="N30" s="12"/>
      <c r="O30" s="12"/>
      <c r="P30" s="12"/>
      <c r="Q30" s="12"/>
      <c r="R30" s="12"/>
      <c r="S30" s="13"/>
    </row>
    <row r="31" spans="1:19" x14ac:dyDescent="0.2">
      <c r="A31" s="16">
        <v>2.0933999999999999</v>
      </c>
      <c r="B31" s="7">
        <v>5.8624000000000001</v>
      </c>
      <c r="C31" s="7">
        <v>3.1421100000000002</v>
      </c>
      <c r="D31" s="12"/>
      <c r="E31" s="12"/>
      <c r="F31" s="12"/>
      <c r="G31" s="12"/>
      <c r="H31" s="12"/>
      <c r="I31" s="13"/>
      <c r="K31" s="20">
        <v>2.0150000000000001</v>
      </c>
      <c r="L31" s="5">
        <v>11.616300000000001</v>
      </c>
      <c r="M31" s="5">
        <v>3.26905</v>
      </c>
      <c r="N31" s="12"/>
      <c r="O31" s="12"/>
      <c r="P31" s="12"/>
      <c r="Q31" s="12"/>
      <c r="R31" s="12"/>
      <c r="S31" s="13"/>
    </row>
    <row r="32" spans="1:19" x14ac:dyDescent="0.2">
      <c r="A32" s="16">
        <v>2.1922999999999999</v>
      </c>
      <c r="B32" s="7">
        <v>6.0586900000000004</v>
      </c>
      <c r="C32" s="7">
        <v>3.2366100000000002</v>
      </c>
      <c r="D32" s="12"/>
      <c r="E32" s="12"/>
      <c r="F32" s="12"/>
      <c r="G32" s="12"/>
      <c r="H32" s="12"/>
      <c r="I32" s="13"/>
      <c r="K32" s="20">
        <v>2.1150000000000002</v>
      </c>
      <c r="L32" s="5">
        <v>11.62379</v>
      </c>
      <c r="M32" s="5">
        <v>3.30924</v>
      </c>
      <c r="N32" s="12"/>
      <c r="O32" s="12"/>
      <c r="P32" s="12"/>
      <c r="Q32" s="12"/>
      <c r="R32" s="12"/>
      <c r="S32" s="13"/>
    </row>
    <row r="33" spans="1:19" x14ac:dyDescent="0.2">
      <c r="A33" s="16">
        <v>2.2911999999999999</v>
      </c>
      <c r="B33" s="7">
        <v>6.25746</v>
      </c>
      <c r="C33" s="7">
        <v>3.3326099999999999</v>
      </c>
      <c r="D33" s="12"/>
      <c r="E33" s="12"/>
      <c r="F33" s="12"/>
      <c r="G33" s="12"/>
      <c r="H33" s="12"/>
      <c r="I33" s="13"/>
      <c r="K33" s="20">
        <v>2.2149999999999999</v>
      </c>
      <c r="L33" s="5">
        <v>11.631640000000001</v>
      </c>
      <c r="M33" s="5">
        <v>3.3508599999999999</v>
      </c>
      <c r="N33" s="12"/>
      <c r="O33" s="12"/>
      <c r="P33" s="12"/>
      <c r="Q33" s="12"/>
      <c r="R33" s="12"/>
      <c r="S33" s="13"/>
    </row>
    <row r="34" spans="1:19" x14ac:dyDescent="0.2">
      <c r="A34" s="16">
        <v>2.3900999999999999</v>
      </c>
      <c r="B34" s="7">
        <v>6.4584700000000002</v>
      </c>
      <c r="C34" s="7">
        <v>3.42997</v>
      </c>
      <c r="D34" s="12"/>
      <c r="E34" s="12"/>
      <c r="F34" s="12"/>
      <c r="G34" s="12"/>
      <c r="H34" s="12"/>
      <c r="I34" s="13"/>
      <c r="K34" s="20">
        <v>2.3149999999999999</v>
      </c>
      <c r="L34" s="5">
        <v>11.639849999999999</v>
      </c>
      <c r="M34" s="5">
        <v>3.3938600000000001</v>
      </c>
      <c r="N34" s="12"/>
      <c r="O34" s="12"/>
      <c r="P34" s="12"/>
      <c r="Q34" s="12"/>
      <c r="R34" s="12"/>
      <c r="S34" s="13"/>
    </row>
    <row r="35" spans="1:19" x14ac:dyDescent="0.2">
      <c r="A35" s="16">
        <v>2.4889999999999999</v>
      </c>
      <c r="B35" s="7">
        <v>6.66153</v>
      </c>
      <c r="C35" s="7">
        <v>3.5285899999999999</v>
      </c>
      <c r="D35" s="12"/>
      <c r="E35" s="12"/>
      <c r="F35" s="12"/>
      <c r="G35" s="12"/>
      <c r="H35" s="12"/>
      <c r="I35" s="13"/>
      <c r="K35" s="20">
        <v>2.375</v>
      </c>
      <c r="L35" s="5">
        <v>11.64494</v>
      </c>
      <c r="M35" s="5">
        <v>3.4202900000000001</v>
      </c>
      <c r="N35" s="12"/>
      <c r="O35" s="12"/>
      <c r="P35" s="12"/>
      <c r="Q35" s="12"/>
      <c r="R35" s="12"/>
      <c r="S35" s="13"/>
    </row>
    <row r="36" spans="1:19" x14ac:dyDescent="0.2">
      <c r="A36" s="16">
        <v>2.5878999999999999</v>
      </c>
      <c r="B36" s="7">
        <v>6.8664399999999999</v>
      </c>
      <c r="C36" s="7">
        <v>3.6283699999999999</v>
      </c>
      <c r="D36" s="12"/>
      <c r="E36" s="12"/>
      <c r="F36" s="12"/>
      <c r="G36" s="12"/>
      <c r="H36" s="12"/>
      <c r="I36" s="13"/>
      <c r="K36" s="20">
        <v>2.375</v>
      </c>
      <c r="L36" s="5">
        <v>11.64494</v>
      </c>
      <c r="M36" s="5">
        <v>3.4202900000000001</v>
      </c>
      <c r="N36" s="12"/>
      <c r="O36" s="12"/>
      <c r="P36" s="12"/>
      <c r="Q36" s="12"/>
      <c r="R36" s="12"/>
      <c r="S36" s="13"/>
    </row>
    <row r="37" spans="1:19" x14ac:dyDescent="0.2">
      <c r="A37" s="16">
        <v>2.6879</v>
      </c>
      <c r="B37" s="7">
        <v>7.0753599999999999</v>
      </c>
      <c r="C37" s="7">
        <v>3.7303299999999999</v>
      </c>
      <c r="D37" s="12"/>
      <c r="E37" s="12"/>
      <c r="F37" s="12"/>
      <c r="G37" s="12"/>
      <c r="H37" s="12"/>
      <c r="I37" s="13"/>
      <c r="K37" s="20">
        <v>2.4750000000000001</v>
      </c>
      <c r="L37" s="5">
        <v>11.65372</v>
      </c>
      <c r="M37" s="5">
        <v>3.4653800000000001</v>
      </c>
      <c r="N37" s="12"/>
      <c r="O37" s="12"/>
      <c r="P37" s="12"/>
      <c r="Q37" s="12"/>
      <c r="R37" s="12"/>
      <c r="S37" s="13"/>
    </row>
    <row r="38" spans="1:19" x14ac:dyDescent="0.2">
      <c r="A38" s="16">
        <v>2.7879</v>
      </c>
      <c r="B38" s="7">
        <v>7.2858700000000001</v>
      </c>
      <c r="C38" s="7">
        <v>3.8332999999999999</v>
      </c>
      <c r="D38" s="12"/>
      <c r="E38" s="12"/>
      <c r="F38" s="12"/>
      <c r="G38" s="12"/>
      <c r="H38" s="12"/>
      <c r="I38" s="13"/>
      <c r="K38" s="20">
        <v>2.4750000000000001</v>
      </c>
      <c r="L38" s="5">
        <v>11.65372</v>
      </c>
      <c r="M38" s="5">
        <v>3.4653800000000001</v>
      </c>
      <c r="N38" s="12"/>
      <c r="O38" s="12"/>
      <c r="P38" s="12"/>
      <c r="Q38" s="12"/>
      <c r="R38" s="12"/>
      <c r="S38" s="13"/>
    </row>
    <row r="39" spans="1:19" x14ac:dyDescent="0.2">
      <c r="A39" s="16">
        <v>2.8879000000000001</v>
      </c>
      <c r="B39" s="7">
        <v>7.4978199999999999</v>
      </c>
      <c r="C39" s="7">
        <v>3.9371800000000001</v>
      </c>
      <c r="D39" s="12"/>
      <c r="E39" s="12"/>
      <c r="F39" s="12"/>
      <c r="G39" s="12"/>
      <c r="H39" s="12"/>
      <c r="I39" s="13"/>
      <c r="K39" s="20">
        <v>2.5750000000000002</v>
      </c>
      <c r="L39" s="5">
        <v>11.662850000000001</v>
      </c>
      <c r="M39" s="5">
        <v>3.51172</v>
      </c>
      <c r="N39" s="12"/>
      <c r="O39" s="12"/>
      <c r="P39" s="12"/>
      <c r="Q39" s="12"/>
      <c r="R39" s="12"/>
      <c r="S39" s="13"/>
    </row>
    <row r="40" spans="1:19" x14ac:dyDescent="0.2">
      <c r="A40" s="16">
        <v>2.9878999999999998</v>
      </c>
      <c r="B40" s="7">
        <v>7.7111200000000002</v>
      </c>
      <c r="C40" s="7">
        <v>4.0419099999999997</v>
      </c>
      <c r="D40" s="12"/>
      <c r="E40" s="12"/>
      <c r="F40" s="12"/>
      <c r="G40" s="12"/>
      <c r="H40" s="12"/>
      <c r="I40" s="13"/>
      <c r="K40" s="20">
        <v>2.665</v>
      </c>
      <c r="L40" s="5">
        <v>11.67137</v>
      </c>
      <c r="M40" s="5">
        <v>3.55444</v>
      </c>
      <c r="N40" s="12"/>
      <c r="O40" s="12"/>
      <c r="P40" s="12"/>
      <c r="Q40" s="12"/>
      <c r="R40" s="12"/>
      <c r="S40" s="13"/>
    </row>
    <row r="41" spans="1:19" x14ac:dyDescent="0.2">
      <c r="A41" s="11"/>
      <c r="B41" s="12"/>
      <c r="C41" s="12"/>
      <c r="D41" s="12"/>
      <c r="E41" s="12"/>
      <c r="F41" s="12"/>
      <c r="G41" s="12"/>
      <c r="H41" s="12"/>
      <c r="I41" s="13"/>
      <c r="K41" s="20">
        <v>2.7549999999999999</v>
      </c>
      <c r="L41" s="5">
        <v>11.68017</v>
      </c>
      <c r="M41" s="5">
        <v>3.5981000000000001</v>
      </c>
      <c r="N41" s="12"/>
      <c r="O41" s="12"/>
      <c r="P41" s="12"/>
      <c r="Q41" s="12"/>
      <c r="R41" s="12"/>
      <c r="S41" s="13"/>
    </row>
    <row r="42" spans="1:19" x14ac:dyDescent="0.2">
      <c r="A42" s="11"/>
      <c r="B42" s="12"/>
      <c r="C42" s="12"/>
      <c r="D42" s="12"/>
      <c r="E42" s="12"/>
      <c r="F42" s="12"/>
      <c r="G42" s="12"/>
      <c r="H42" s="12"/>
      <c r="I42" s="13"/>
      <c r="K42" s="20">
        <v>2.8450000000000002</v>
      </c>
      <c r="L42" s="5">
        <v>11.68927</v>
      </c>
      <c r="M42" s="5">
        <v>3.6426500000000002</v>
      </c>
      <c r="N42" s="12"/>
      <c r="O42" s="12"/>
      <c r="P42" s="12"/>
      <c r="Q42" s="12"/>
      <c r="R42" s="12"/>
      <c r="S42" s="13"/>
    </row>
    <row r="43" spans="1:19" x14ac:dyDescent="0.2">
      <c r="A43" s="11"/>
      <c r="B43" s="12"/>
      <c r="C43" s="12"/>
      <c r="D43" s="12"/>
      <c r="E43" s="12"/>
      <c r="F43" s="12"/>
      <c r="G43" s="12"/>
      <c r="H43" s="12"/>
      <c r="I43" s="13"/>
      <c r="K43" s="20">
        <v>2.9350000000000001</v>
      </c>
      <c r="L43" s="5">
        <v>11.698639999999999</v>
      </c>
      <c r="M43" s="5">
        <v>3.6880799999999998</v>
      </c>
      <c r="N43" s="12"/>
      <c r="O43" s="12"/>
      <c r="P43" s="12"/>
      <c r="Q43" s="12"/>
      <c r="R43" s="12"/>
      <c r="S43" s="13"/>
    </row>
    <row r="44" spans="1:19" ht="13.5" thickBot="1" x14ac:dyDescent="0.25">
      <c r="A44" s="17"/>
      <c r="B44" s="18"/>
      <c r="C44" s="18"/>
      <c r="D44" s="18"/>
      <c r="E44" s="18"/>
      <c r="F44" s="18"/>
      <c r="G44" s="18"/>
      <c r="H44" s="18"/>
      <c r="I44" s="19"/>
      <c r="K44" s="17"/>
      <c r="L44" s="18"/>
      <c r="M44" s="18"/>
      <c r="N44" s="18"/>
      <c r="O44" s="18"/>
      <c r="P44" s="18"/>
      <c r="Q44" s="18"/>
      <c r="R44" s="18"/>
      <c r="S44" s="19"/>
    </row>
  </sheetData>
  <mergeCells count="8">
    <mergeCell ref="E3:F3"/>
    <mergeCell ref="E4:F4"/>
    <mergeCell ref="E5:F5"/>
    <mergeCell ref="A1:I1"/>
    <mergeCell ref="K1:S1"/>
    <mergeCell ref="O3:P3"/>
    <mergeCell ref="O4:P4"/>
    <mergeCell ref="O5:P5"/>
  </mergeCells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D4204D-467C-4A7A-B0CE-C990B749B05E}">
  <sheetPr codeName="Sheet2"/>
  <dimension ref="A1:AH37"/>
  <sheetViews>
    <sheetView workbookViewId="0">
      <selection activeCell="C37" sqref="C37"/>
    </sheetView>
  </sheetViews>
  <sheetFormatPr defaultRowHeight="12.75" x14ac:dyDescent="0.2"/>
  <cols>
    <col min="1" max="1" width="48.140625" bestFit="1" customWidth="1"/>
    <col min="2" max="2" width="16.5703125" customWidth="1"/>
    <col min="3" max="3" width="13.7109375" bestFit="1" customWidth="1"/>
    <col min="4" max="4" width="10.42578125" bestFit="1" customWidth="1"/>
    <col min="5" max="5" width="12.42578125" bestFit="1" customWidth="1"/>
    <col min="6" max="6" width="8.42578125" bestFit="1" customWidth="1"/>
    <col min="10" max="10" width="8.5703125" bestFit="1" customWidth="1"/>
    <col min="11" max="11" width="8.85546875" customWidth="1"/>
    <col min="12" max="13" width="13.140625" bestFit="1" customWidth="1"/>
    <col min="15" max="16" width="13.140625" bestFit="1" customWidth="1"/>
    <col min="18" max="19" width="13.140625" bestFit="1" customWidth="1"/>
    <col min="21" max="22" width="13.140625" bestFit="1" customWidth="1"/>
    <col min="23" max="23" width="7.5703125" bestFit="1" customWidth="1"/>
    <col min="24" max="25" width="13.140625" bestFit="1" customWidth="1"/>
    <col min="26" max="26" width="7.5703125" bestFit="1" customWidth="1"/>
    <col min="27" max="28" width="13.140625" bestFit="1" customWidth="1"/>
    <col min="29" max="29" width="7.5703125" bestFit="1" customWidth="1"/>
    <col min="30" max="31" width="13.140625" bestFit="1" customWidth="1"/>
    <col min="33" max="34" width="13.140625" bestFit="1" customWidth="1"/>
  </cols>
  <sheetData>
    <row r="1" spans="1:34" ht="23.25" customHeight="1" x14ac:dyDescent="0.4">
      <c r="A1" s="94" t="s">
        <v>59</v>
      </c>
      <c r="B1" s="96"/>
      <c r="C1" s="42"/>
      <c r="D1" s="42"/>
      <c r="E1" s="39"/>
      <c r="F1" s="39"/>
      <c r="G1" s="39"/>
      <c r="H1" s="40"/>
      <c r="I1" s="40"/>
      <c r="J1" s="41"/>
    </row>
    <row r="2" spans="1:34" x14ac:dyDescent="0.2">
      <c r="A2" s="11"/>
      <c r="B2" s="13"/>
    </row>
    <row r="3" spans="1:34" ht="15" x14ac:dyDescent="0.25">
      <c r="A3" s="43" t="s">
        <v>54</v>
      </c>
      <c r="B3" s="13"/>
      <c r="D3" s="22" t="s">
        <v>62</v>
      </c>
      <c r="I3" s="97">
        <v>1</v>
      </c>
      <c r="J3" s="97"/>
      <c r="K3" s="97"/>
      <c r="L3" s="97"/>
      <c r="M3" s="97"/>
      <c r="N3" s="97">
        <v>3</v>
      </c>
      <c r="O3" s="97"/>
      <c r="P3" s="97"/>
      <c r="Q3" s="97">
        <v>5</v>
      </c>
      <c r="R3" s="97"/>
      <c r="S3" s="97"/>
      <c r="T3" s="97">
        <v>7</v>
      </c>
      <c r="U3" s="97"/>
      <c r="V3" s="97"/>
      <c r="W3" s="97">
        <v>9</v>
      </c>
      <c r="X3" s="97"/>
      <c r="Y3" s="97"/>
      <c r="Z3" s="97">
        <v>11</v>
      </c>
      <c r="AA3" s="97"/>
      <c r="AB3" s="97"/>
      <c r="AC3" s="97">
        <v>13</v>
      </c>
      <c r="AD3" s="97"/>
      <c r="AE3" s="97"/>
      <c r="AF3" s="97">
        <v>15</v>
      </c>
      <c r="AG3" s="97"/>
      <c r="AH3" s="97"/>
    </row>
    <row r="4" spans="1:34" ht="15" x14ac:dyDescent="0.25">
      <c r="A4" s="44" t="s">
        <v>55</v>
      </c>
      <c r="B4" s="45">
        <v>-1.6021766339999999E-19</v>
      </c>
      <c r="D4" s="21" t="s">
        <v>63</v>
      </c>
      <c r="E4" s="21" t="s">
        <v>64</v>
      </c>
      <c r="F4" s="21" t="s">
        <v>65</v>
      </c>
      <c r="G4" s="26"/>
      <c r="H4" s="23" t="s">
        <v>51</v>
      </c>
      <c r="I4" s="33" t="s">
        <v>93</v>
      </c>
      <c r="J4" s="23" t="s">
        <v>94</v>
      </c>
      <c r="K4" s="29" t="s">
        <v>83</v>
      </c>
      <c r="L4" s="29" t="s">
        <v>52</v>
      </c>
      <c r="M4" s="23" t="s">
        <v>84</v>
      </c>
      <c r="N4" s="29" t="s">
        <v>83</v>
      </c>
      <c r="O4" s="29" t="s">
        <v>52</v>
      </c>
      <c r="P4" s="23" t="s">
        <v>84</v>
      </c>
      <c r="Q4" s="29" t="s">
        <v>83</v>
      </c>
      <c r="R4" s="29" t="s">
        <v>52</v>
      </c>
      <c r="S4" s="23" t="s">
        <v>84</v>
      </c>
      <c r="T4" s="29" t="s">
        <v>83</v>
      </c>
      <c r="U4" s="29" t="s">
        <v>52</v>
      </c>
      <c r="V4" s="23" t="s">
        <v>84</v>
      </c>
      <c r="W4" s="29" t="s">
        <v>83</v>
      </c>
      <c r="X4" s="29" t="s">
        <v>52</v>
      </c>
      <c r="Y4" s="23" t="s">
        <v>84</v>
      </c>
      <c r="Z4" s="29" t="s">
        <v>83</v>
      </c>
      <c r="AA4" s="29" t="s">
        <v>52</v>
      </c>
      <c r="AB4" s="23" t="s">
        <v>84</v>
      </c>
      <c r="AC4" s="29" t="s">
        <v>83</v>
      </c>
      <c r="AD4" s="29" t="s">
        <v>52</v>
      </c>
      <c r="AE4" s="23" t="s">
        <v>84</v>
      </c>
      <c r="AF4" s="29" t="s">
        <v>83</v>
      </c>
      <c r="AG4" s="29" t="s">
        <v>52</v>
      </c>
      <c r="AH4" s="23" t="s">
        <v>84</v>
      </c>
    </row>
    <row r="5" spans="1:34" ht="15" x14ac:dyDescent="0.25">
      <c r="A5" s="44" t="s">
        <v>56</v>
      </c>
      <c r="B5" s="45">
        <v>9.1093835599999998E-31</v>
      </c>
      <c r="D5" s="27">
        <v>1</v>
      </c>
      <c r="E5" s="28">
        <f>($B$7*$B$6/(ABS($B$4)*($B$28/1000)/(2*(1/$B$19*1000)^2*$D5)*(1+0.5*$B$32^2)))</f>
        <v>88.789814220594806</v>
      </c>
      <c r="F5" s="28">
        <f>($B$7*$B$6/(ABS($B$4)*($B$28/1000)/(2*(1/$B$19*1000)^2*$D5)*(1+0)))</f>
        <v>1627.9442612551709</v>
      </c>
      <c r="H5" s="24">
        <f>B32</f>
        <v>5.8880911565503293</v>
      </c>
      <c r="I5" s="34">
        <f t="shared" ref="I5:I24" si="0">(($B$28/1000)/(2*$B$20^2)*(1+H5^2/2))</f>
        <v>1.3963785988660062E-8</v>
      </c>
      <c r="J5" s="35">
        <f>H5^2/(4*(1 + 0.5*H5^2))</f>
        <v>0.47272946736145116</v>
      </c>
      <c r="K5" s="30">
        <f t="shared" ref="K5:K24" si="1">($B$7*$B$6/(ABS($B$4)*($B$28/1000)/(2*(1/$B$19*1000)^2*I$3)*(1+0.5*$H5^2)))</f>
        <v>88.789814220594806</v>
      </c>
      <c r="L5" s="31">
        <f>(143100000000000*INT($B$31)*ABS($B$10)*I$3*$H5^2/(1+0.5*$H5^2)*(BESSELJ(I$3*$J5,(I$3+1)/2) - BESSELJ(I$3*$J5,(I$3-1)/2))^2)</f>
        <v>1016982932332184.8</v>
      </c>
      <c r="M5" s="31">
        <f>L5/((4*PI()^2)*SQRT(($B$21/1000)^2+ (($I5/$I$3)*$B$31*$B$28/1000)/(16*PI()^2)) * SQRT(($B$22/1000)^2+(($I5/$I$3)*$B$31*$B$28/1000)/(16*PI()^2))*SQRT(($B$23/1000)^2+($I5/$I$3)/($B$31*$B$28/1000))*SQRT(($B$24/1000)^2+($I5/$I$3)/($B$31*$B$28/1000))*10^12 )</f>
        <v>9.5986237308392796E+18</v>
      </c>
      <c r="N5" s="30">
        <f>($B$7*$B$6/(ABS($B$4)*($B$28/1000)/(2*(1/$B$19*1000)^2*N$3)*(1+0.5*$H5^2)))</f>
        <v>266.36944266178443</v>
      </c>
      <c r="O5" s="31">
        <f t="shared" ref="O5:O24" si="2">(143100000000000*INT($B$31)*ABS($B$10)*N$3*$H5^2/(1+0.5*$H5^2)*(BESSELJ(N$3*$H5^2/(4+2*$H5^2),(N$3-1)/2) - BESSELJ(N$3*$H5^2/(4+2*$H5^2),(N$3+1)/2))^2)</f>
        <v>662893943541591.5</v>
      </c>
      <c r="P5" s="31">
        <f t="shared" ref="P5:P24" si="3">O5/((4*PI()^2)*SQRT(($B$21/1000)^2+ (($I5/$N$3)*$B$31*$B$28/1000)/(16*PI()^2)) * SQRT(($B$22/1000)^2+(($I5/$N$3)*$B$31*$B$28/1000)/(16*PI()^2))*SQRT(($B$23/1000)^2+($I5/$N$3)/($B$31*$B$28/1000))*SQRT(($B$24/1000)^2+($I5/$N$3)/($B$31*$B$28/1000))*10^12 )</f>
        <v>3.3453644468312674E+19</v>
      </c>
      <c r="Q5" s="30">
        <f>($B$7*$B$6/(ABS($B$4)*($B$28/1000)/(2*(1/$B$19*1000)^2*Q$3)*(1+0.5*$H5^2)))</f>
        <v>443.94907110297396</v>
      </c>
      <c r="R5" s="31">
        <f t="shared" ref="R5:R24" si="4">(143100000000000*INT($B$31)*ABS($B$10)*Q$3*$H5^2/(1+0.5*$H5^2)*(BESSELJ(Q$3*$H5^2/(4+2*$H5^2),(Q$3-1)/2) - BESSELJ(Q$3*$H5^2/(4+2*$H5^2),(Q$3+1)/2))^2)</f>
        <v>542281415353117.5</v>
      </c>
      <c r="S5" s="31">
        <f t="shared" ref="S5:S24" si="5">R5/((4*PI()^2)*SQRT(($B$21/1000)^2+ (($I5/$Q$3)*$B$31*$B$28/1000)/(16*PI()^2)) * SQRT(($B$22/1000)^2+(($I5/$Q$3)*$B$31*$B$28/1000)/(16*PI()^2))*SQRT(($B$23/1000)^2+($I5/$Q$3)/($B$31*$B$28/1000))*SQRT(($B$24/1000)^2+($I5/$Q$3)/($B$31*$B$28/1000))*10^12 )</f>
        <v>5.7074371232922485E+19</v>
      </c>
      <c r="T5" s="30">
        <f>($B$7*$B$6/(ABS($B$4)*($B$28/1000)/(2*(1/$B$19*1000)^2*T$3)*(1+0.5*$H5^2)))</f>
        <v>621.52869954416371</v>
      </c>
      <c r="U5" s="31">
        <f>(143100000000000*INT($B$31)*ABS($B$10)*T$3*$H5^2/(1+0.5*$H5^2)*(BESSELJ(T$3*$H5^2/(4+2*$H5^2),(T$3-1)/2) - BESSELJ(T$3*$H5^2/(4+2*$H5^2),(T$3+1)/2))^2)</f>
        <v>474043268651490.88</v>
      </c>
      <c r="V5" s="31">
        <f t="shared" ref="V5:V24" si="6">U5/((4*PI()^2)*SQRT(($B$21/1000)^2+ (($I5/$T$3)*$B$31*$B$28/1000)/(16*PI()^2)) * SQRT(($B$22/1000)^2+(($I5/$T$3)*$B$31*$B$28/1000)/(16*PI()^2))*SQRT(($B$23/1000)^2+($I5/$T$3)/($B$31*$B$28/1000))*SQRT(($B$24/1000)^2+($I5/$T$3)/($B$31*$B$28/1000))*10^12 )</f>
        <v>7.9523761078554411E+19</v>
      </c>
      <c r="W5" s="30">
        <f>($B$7*$B$6/(ABS($B$4)*($B$28/1000)/(2*(1/$B$19*1000)^2*W$3)*(1+0.5*$H5^2)))</f>
        <v>799.10832798535341</v>
      </c>
      <c r="X5" s="31">
        <f>(143100000000000*INT($B$31)*ABS($B$10)*W$3*$H5^2/(1+0.5*$H5^2)*(BESSELJ(W$3*$H5^2/(4+2*$H5^2),(W$3-1)/2) - BESSELJ(W$3*$H5^2/(4+2*$H5^2),(W$3+1)/2))^2)</f>
        <v>427612123035382.94</v>
      </c>
      <c r="Y5" s="31">
        <f t="shared" ref="Y5:Y24" si="7">X5/((4*PI()^2)*SQRT(($B$21/1000)^2+ (($I5/$W$3)*$B$31*$B$28/1000)/(16*PI()^2)) * SQRT(($B$22/1000)^2+(($I5/$W$3)*$B$31*$B$28/1000)/(16*PI()^2))*SQRT(($B$23/1000)^2+($I5/$W$3)/($B$31*$B$28/1000))*SQRT(($B$24/1000)^2+($I5/$W$3)/($B$31*$B$28/1000))*10^12 )</f>
        <v>1.005213988925544E+20</v>
      </c>
      <c r="Z5" s="30">
        <f>($B$7*$B$6/(ABS($B$4)*($B$28/1000)/(2*(1/$B$19*1000)^2*Z$3)*(1+0.5*$H5^2)))</f>
        <v>976.68795642654288</v>
      </c>
      <c r="AA5" s="31">
        <f>(143100000000000*INT($B$31)*ABS($B$10)*Z$3*$H5^2/(1+0.5*$H5^2)*(BESSELJ(Z$3*$H5^2/(4+2*$H5^2),(Z$3-1)/2) - BESSELJ(Z$3*$H5^2/(4+2*$H5^2),(Z$3+1)/2))^2)</f>
        <v>392806167595845</v>
      </c>
      <c r="AB5" s="31">
        <f t="shared" ref="AB5:AB24" si="8">AA5/((4*PI()^2)*SQRT(($B$21/1000)^2+ (($I5/$Z$3)*$B$31*$B$28/1000)/(16*PI()^2)) * SQRT(($B$22/1000)^2+(($I5/$Z$3)*$B$31*$B$28/1000)/(16*PI()^2))*SQRT(($B$23/1000)^2+($I5/$Z$3)/($B$31*$B$28/1000))*SQRT(($B$24/1000)^2+($I5/$Z$3)/($B$31*$B$28/1000))*10^12 )</f>
        <v>1.1999404836892321E+20</v>
      </c>
      <c r="AC5" s="30">
        <f>($B$7*$B$6/(ABS($B$4)*($B$28/1000)/(2*(1/$B$19*1000)^2*AC$3)*(1+0.5*$H5^2)))</f>
        <v>1154.2675848677325</v>
      </c>
      <c r="AD5" s="31">
        <f>(143100000000000*INT($B$31)*ABS($B$10)*AC$3*$H5^2/(1+0.5*$H5^2)*(BESSELJ(AC$3*$H5^2/(4+2*$H5^2),(AC$3-1)/2) - BESSELJ(AC$3*$H5^2/(4+2*$H5^2),(AC$3+1)/2))^2)</f>
        <v>365113622235144.06</v>
      </c>
      <c r="AE5" s="31">
        <f t="shared" ref="AE5:AE24" si="9">AD5/((4*PI()^2)*SQRT(($B$21/1000)^2+ (($I5/$AC$3)*$B$31*$B$28/1000)/(16*PI()^2)) * SQRT(($B$22/1000)^2+(($I5/$AC$3)*$B$31*$B$28/1000)/(16*PI()^2))*SQRT(($B$23/1000)^2+($I5/$AC$3)/($B$31*$B$28/1000))*SQRT(($B$24/1000)^2+($I5/$AC$3)/($B$31*$B$28/1000))*10^12 )</f>
        <v>1.3795550118434177E+20</v>
      </c>
      <c r="AF5" s="30">
        <f>($B$7*$B$6/(ABS($B$4)*($B$28/1000)/(2*(1/$B$19*1000)^2*AF$3)*(1+0.5*$H5^2)))</f>
        <v>1331.8472133089222</v>
      </c>
      <c r="AG5" s="31">
        <f>(143100000000000*INT($B$31)*ABS($B$10)*AF$3*$H5^2/(1+0.5*$H5^2)*(BESSELJ(AF$3*$H5^2/(4+2*$H5^2),(AF$3-1)/2) - BESSELJ(AF$3*$H5^2/(4+2*$H5^2),(AF$3+1)/2))^2)</f>
        <v>342178489856452.38</v>
      </c>
      <c r="AH5" s="31">
        <f t="shared" ref="AH5:AH24" si="10">AG5/((4*PI()^2)*SQRT(($B$21/1000)^2+ (($I5/$AF$3)*$B$31*$B$28/1000)/(16*PI()^2)) * SQRT(($B$22/1000)^2+(($I5/$AF$3)*$B$31*$B$28/1000)/(16*PI()^2))*SQRT(($B$23/1000)^2+($I5/$AF$3)/($B$31*$B$28/1000))*SQRT(($B$24/1000)^2+($I5/$AF$3)/($B$31*$B$28/1000))*10^12 )</f>
        <v>1.544593898012075E+20</v>
      </c>
    </row>
    <row r="6" spans="1:34" ht="15" x14ac:dyDescent="0.25">
      <c r="A6" s="44" t="s">
        <v>57</v>
      </c>
      <c r="B6" s="45">
        <v>299792458</v>
      </c>
      <c r="D6" s="27">
        <v>3</v>
      </c>
      <c r="E6" s="28">
        <f t="shared" ref="E6:E12" si="11">($B$7*$B$6/(ABS($B$4)*($B$28/1000)/(2*(1/$B$19*1000)^2*$D6)*(1+0.5*$B$32^2)))</f>
        <v>266.36944266178443</v>
      </c>
      <c r="F6" s="28">
        <f t="shared" ref="F6:F12" si="12">($B$7*$B$6/(ABS($B$4)*($B$28/1000)/(2*(1/$B$19*1000)^2*$D6)*(1+0)))</f>
        <v>4883.8327837655124</v>
      </c>
      <c r="H6" s="24">
        <f>-$H$5/20+H5</f>
        <v>5.5936865987228126</v>
      </c>
      <c r="I6" s="34">
        <f t="shared" si="0"/>
        <v>1.2676572831670192E-8</v>
      </c>
      <c r="J6" s="35">
        <f t="shared" ref="J6:J24" si="13">H6^2/(4*(1 + 0.5*H6^2))</f>
        <v>0.46996034443867163</v>
      </c>
      <c r="K6" s="30">
        <f t="shared" si="1"/>
        <v>97.805769762292854</v>
      </c>
      <c r="L6" s="31">
        <f t="shared" ref="L6:L24" si="14">(143100000000000*INT($B$31)*ABS($B$10)*I$3*$H6^2/(1+0.5*$H6^2)*(BESSELJ(I$3*$J6,(I$3+1)/2) - BESSELJ(I$3*$J6,(I$3-1)/2))^2)</f>
        <v>1016421464980249.9</v>
      </c>
      <c r="M6" s="31">
        <f t="shared" ref="M6:M24" si="15">L6/((4*PI()^2)*SQRT(($B$21/1000)^2+ (($I6/$I$3)*$B$31*$B$28/1000)/(16*PI()^2)) * SQRT(($B$22/1000)^2+(($I6/$I$3)*$B$31*$B$28/1000)/(16*PI()^2))*SQRT(($B$23/1000)^2+($I6/$I$3)/($B$31*$B$28/1000))*SQRT(($B$24/1000)^2+($I6/$I$3)/($B$31*$B$28/1000))*10^12 )</f>
        <v>1.1176596699743347E+19</v>
      </c>
      <c r="N6" s="30">
        <f t="shared" ref="N6:N24" si="16">($B$7*$B$6/(ABS($B$4)*($B$28/1000)/(2*(1/$B$19*1000)^2*N$3)*(1+0.5*$H6^2)))</f>
        <v>293.41730928687861</v>
      </c>
      <c r="O6" s="31">
        <f t="shared" si="2"/>
        <v>661379921938685</v>
      </c>
      <c r="P6" s="31">
        <f t="shared" si="3"/>
        <v>3.8449183262731248E+19</v>
      </c>
      <c r="Q6" s="30">
        <f t="shared" ref="Q6:Q24" si="17">($B$7*$B$6/(ABS($B$4)*($B$28/1000)/(2*(1/$B$19*1000)^2*Q$3)*(1+0.5*$H6^2)))</f>
        <v>489.02884881146429</v>
      </c>
      <c r="R6" s="31">
        <f t="shared" si="4"/>
        <v>539887188746768.5</v>
      </c>
      <c r="S6" s="31">
        <f t="shared" si="5"/>
        <v>6.507261513022949E+19</v>
      </c>
      <c r="T6" s="30">
        <f t="shared" ref="T6:T24" si="18">($B$7*$B$6/(ABS($B$4)*($B$28/1000)/(2*(1/$B$19*1000)^2*T$3)*(1+0.5*$H6^2)))</f>
        <v>684.64038833605002</v>
      </c>
      <c r="U6" s="31">
        <f t="shared" ref="U6:U24" si="19">(143100000000000*INT($B$31)*ABS($B$10)*T$3*$H6^2/(1+0.5*$H6^2)*(BESSELJ(T$3*$H6^2/(4+2*$H6^2),(T$3-1)/2) - BESSELJ(T$3*$H6^2/(4+2*$H6^2),(T$3+1)/2))^2)</f>
        <v>470827338423204.5</v>
      </c>
      <c r="V6" s="31">
        <f t="shared" si="6"/>
        <v>9.0039671971021849E+19</v>
      </c>
      <c r="W6" s="30">
        <f t="shared" ref="W6:W24" si="20">($B$7*$B$6/(ABS($B$4)*($B$28/1000)/(2*(1/$B$19*1000)^2*W$3)*(1+0.5*$H6^2)))</f>
        <v>880.25192786063587</v>
      </c>
      <c r="X6" s="31">
        <f t="shared" ref="X6:X24" si="21">(143100000000000*INT($B$31)*ABS($B$10)*W$3*$H6^2/(1+0.5*$H6^2)*(BESSELJ(W$3*$H6^2/(4+2*$H6^2),(W$3-1)/2) - BESSELJ(W$3*$H6^2/(4+2*$H6^2),(W$3+1)/2))^2)</f>
        <v>423626879476261.19</v>
      </c>
      <c r="Y6" s="31">
        <f t="shared" si="7"/>
        <v>1.1308366219495093E+20</v>
      </c>
      <c r="Z6" s="30">
        <f t="shared" ref="Z6:Z24" si="22">($B$7*$B$6/(ABS($B$4)*($B$28/1000)/(2*(1/$B$19*1000)^2*Z$3)*(1+0.5*$H6^2)))</f>
        <v>1075.8634673852216</v>
      </c>
      <c r="AA6" s="31">
        <f t="shared" ref="AA6:AA24" si="23">(143100000000000*INT($B$31)*ABS($B$10)*Z$3*$H6^2/(1+0.5*$H6^2)*(BESSELJ(Z$3*$H6^2/(4+2*$H6^2),(Z$3-1)/2) - BESSELJ(Z$3*$H6^2/(4+2*$H6^2),(Z$3+1)/2))^2)</f>
        <v>388099822809209.44</v>
      </c>
      <c r="AB6" s="31">
        <f t="shared" si="8"/>
        <v>1.3416871233173894E+20</v>
      </c>
      <c r="AC6" s="30">
        <f t="shared" ref="AC6:AC24" si="24">($B$7*$B$6/(ABS($B$4)*($B$28/1000)/(2*(1/$B$19*1000)^2*AC$3)*(1+0.5*$H6^2)))</f>
        <v>1271.4750069098072</v>
      </c>
      <c r="AD6" s="31">
        <f t="shared" ref="AD6:AD24" si="25">(143100000000000*INT($B$31)*ABS($B$10)*AC$3*$H6^2/(1+0.5*$H6^2)*(BESSELJ(AC$3*$H6^2/(4+2*$H6^2),(AC$3-1)/2) - BESSELJ(AC$3*$H6^2/(4+2*$H6^2),(AC$3+1)/2))^2)</f>
        <v>359731123680898.56</v>
      </c>
      <c r="AE6" s="31">
        <f t="shared" si="9"/>
        <v>1.5335191759617068E+20</v>
      </c>
      <c r="AF6" s="30">
        <f t="shared" ref="AF6:AF24" si="26">($B$7*$B$6/(ABS($B$4)*($B$28/1000)/(2*(1/$B$19*1000)^2*AF$3)*(1+0.5*$H6^2)))</f>
        <v>1467.0865464343929</v>
      </c>
      <c r="AG6" s="31">
        <f t="shared" ref="AG6:AG24" si="27">(143100000000000*INT($B$31)*ABS($B$10)*AF$3*$H6^2/(1+0.5*$H6^2)*(BESSELJ(AF$3*$H6^2/(4+2*$H6^2),(AF$3-1)/2) - BESSELJ(AF$3*$H6^2/(4+2*$H6^2),(AF$3+1)/2))^2)</f>
        <v>336162033764539.5</v>
      </c>
      <c r="AH6" s="31">
        <f t="shared" si="10"/>
        <v>1.7072981671670261E+20</v>
      </c>
    </row>
    <row r="7" spans="1:34" ht="15" x14ac:dyDescent="0.25">
      <c r="A7" s="44" t="s">
        <v>58</v>
      </c>
      <c r="B7" s="45">
        <v>6.6260700399999999E-34</v>
      </c>
      <c r="D7" s="27">
        <v>5</v>
      </c>
      <c r="E7" s="28">
        <f t="shared" si="11"/>
        <v>443.94907110297396</v>
      </c>
      <c r="F7" s="28">
        <f t="shared" si="12"/>
        <v>8139.7213062758537</v>
      </c>
      <c r="H7" s="24">
        <f t="shared" ref="H7:H24" si="28">-$H$5/20+H6</f>
        <v>5.2992820408952959</v>
      </c>
      <c r="I7" s="34">
        <f t="shared" si="0"/>
        <v>1.1455370605808004E-8</v>
      </c>
      <c r="J7" s="35">
        <f t="shared" si="13"/>
        <v>0.46675796055272145</v>
      </c>
      <c r="K7" s="30">
        <f t="shared" si="1"/>
        <v>108.23237470123031</v>
      </c>
      <c r="L7" s="31">
        <f t="shared" si="14"/>
        <v>1015702856709704.5</v>
      </c>
      <c r="M7" s="31">
        <f t="shared" si="15"/>
        <v>1.3092016619043623E+19</v>
      </c>
      <c r="N7" s="30">
        <f t="shared" si="16"/>
        <v>324.69712410369095</v>
      </c>
      <c r="O7" s="31">
        <f t="shared" si="2"/>
        <v>659452648863151.5</v>
      </c>
      <c r="P7" s="31">
        <f t="shared" si="3"/>
        <v>4.4410301648298541E+19</v>
      </c>
      <c r="Q7" s="30">
        <f t="shared" si="17"/>
        <v>541.16187350615155</v>
      </c>
      <c r="R7" s="31">
        <f t="shared" si="4"/>
        <v>536854060304518.44</v>
      </c>
      <c r="S7" s="31">
        <f t="shared" si="5"/>
        <v>7.4480186125293847E+19</v>
      </c>
      <c r="T7" s="30">
        <f t="shared" si="18"/>
        <v>757.62662290861226</v>
      </c>
      <c r="U7" s="31">
        <f t="shared" si="19"/>
        <v>466771921295484.75</v>
      </c>
      <c r="V7" s="31">
        <f t="shared" si="6"/>
        <v>1.0223395650495324E+20</v>
      </c>
      <c r="W7" s="30">
        <f t="shared" si="20"/>
        <v>974.09137231107297</v>
      </c>
      <c r="X7" s="31">
        <f t="shared" si="21"/>
        <v>418623872323270.06</v>
      </c>
      <c r="Y7" s="31">
        <f t="shared" si="7"/>
        <v>1.2744302546191917E+20</v>
      </c>
      <c r="Z7" s="30">
        <f t="shared" si="22"/>
        <v>1190.5561217135335</v>
      </c>
      <c r="AA7" s="31">
        <f t="shared" si="23"/>
        <v>382217716272694.63</v>
      </c>
      <c r="AB7" s="31">
        <f t="shared" si="8"/>
        <v>1.5013416235142893E+20</v>
      </c>
      <c r="AC7" s="30">
        <f t="shared" si="24"/>
        <v>1407.0208711159939</v>
      </c>
      <c r="AD7" s="31">
        <f t="shared" si="25"/>
        <v>353033476498889.81</v>
      </c>
      <c r="AE7" s="31">
        <f t="shared" si="9"/>
        <v>1.7043065774088972E+20</v>
      </c>
      <c r="AF7" s="30">
        <f t="shared" si="26"/>
        <v>1623.4856205184549</v>
      </c>
      <c r="AG7" s="31">
        <f t="shared" si="27"/>
        <v>328708209105871.31</v>
      </c>
      <c r="AH7" s="31">
        <f t="shared" si="10"/>
        <v>1.8849181316454026E+20</v>
      </c>
    </row>
    <row r="8" spans="1:34" ht="15" x14ac:dyDescent="0.25">
      <c r="A8" s="11"/>
      <c r="B8" s="13"/>
      <c r="D8" s="27">
        <v>7</v>
      </c>
      <c r="E8" s="28">
        <f t="shared" si="11"/>
        <v>621.52869954416371</v>
      </c>
      <c r="F8" s="28">
        <f t="shared" si="12"/>
        <v>11395.609828786197</v>
      </c>
      <c r="H8" s="24">
        <f t="shared" si="28"/>
        <v>5.0048774830677791</v>
      </c>
      <c r="I8" s="34">
        <f t="shared" si="0"/>
        <v>1.0300179311073504E-8</v>
      </c>
      <c r="J8" s="35">
        <f t="shared" si="13"/>
        <v>0.46302978132117806</v>
      </c>
      <c r="K8" s="30">
        <f t="shared" si="1"/>
        <v>120.37091067107384</v>
      </c>
      <c r="L8" s="31">
        <f t="shared" si="14"/>
        <v>1014772197475201.6</v>
      </c>
      <c r="M8" s="31">
        <f t="shared" si="15"/>
        <v>1.5434720267062077E+19</v>
      </c>
      <c r="N8" s="30">
        <f t="shared" si="16"/>
        <v>361.11273201322155</v>
      </c>
      <c r="O8" s="31">
        <f t="shared" si="2"/>
        <v>656972818160159.88</v>
      </c>
      <c r="P8" s="31">
        <f t="shared" si="3"/>
        <v>5.156016079335687E+19</v>
      </c>
      <c r="Q8" s="30">
        <f t="shared" si="17"/>
        <v>601.85455335536915</v>
      </c>
      <c r="R8" s="31">
        <f t="shared" si="4"/>
        <v>532973881766715.75</v>
      </c>
      <c r="S8" s="31">
        <f t="shared" si="5"/>
        <v>8.5571230851656385E+19</v>
      </c>
      <c r="T8" s="30">
        <f t="shared" si="18"/>
        <v>842.59637469751704</v>
      </c>
      <c r="U8" s="31">
        <f t="shared" si="19"/>
        <v>461612811232585</v>
      </c>
      <c r="V8" s="31">
        <f t="shared" si="6"/>
        <v>1.1636474531494883E+20</v>
      </c>
      <c r="W8" s="30">
        <f t="shared" si="20"/>
        <v>1083.3381960396648</v>
      </c>
      <c r="X8" s="31">
        <f t="shared" si="21"/>
        <v>412293997763015.75</v>
      </c>
      <c r="Y8" s="31">
        <f t="shared" si="7"/>
        <v>1.437912282144372E+20</v>
      </c>
      <c r="Z8" s="30">
        <f t="shared" si="22"/>
        <v>1324.0800173818122</v>
      </c>
      <c r="AA8" s="31">
        <f t="shared" si="23"/>
        <v>374815736244943.94</v>
      </c>
      <c r="AB8" s="31">
        <f t="shared" si="8"/>
        <v>1.6797957597106297E+20</v>
      </c>
      <c r="AC8" s="30">
        <f t="shared" si="24"/>
        <v>1564.8218387239599</v>
      </c>
      <c r="AD8" s="31">
        <f t="shared" si="25"/>
        <v>344650374068312.69</v>
      </c>
      <c r="AE8" s="31">
        <f t="shared" si="9"/>
        <v>1.8915366745015881E+20</v>
      </c>
      <c r="AF8" s="30">
        <f t="shared" si="26"/>
        <v>1805.5636600661076</v>
      </c>
      <c r="AG8" s="31">
        <f t="shared" si="27"/>
        <v>319428388790006.19</v>
      </c>
      <c r="AH8" s="31">
        <f t="shared" si="10"/>
        <v>2.0756458284491515E+20</v>
      </c>
    </row>
    <row r="9" spans="1:34" ht="15" x14ac:dyDescent="0.25">
      <c r="A9" s="44" t="s">
        <v>66</v>
      </c>
      <c r="B9" s="46">
        <v>3</v>
      </c>
      <c r="D9" s="27">
        <v>9</v>
      </c>
      <c r="E9" s="28">
        <f t="shared" si="11"/>
        <v>799.10832798535341</v>
      </c>
      <c r="F9" s="28">
        <f t="shared" si="12"/>
        <v>14651.498351296541</v>
      </c>
      <c r="H9" s="24">
        <f t="shared" si="28"/>
        <v>4.7104729252402624</v>
      </c>
      <c r="I9" s="34">
        <f t="shared" si="0"/>
        <v>9.2109989474666909E-9</v>
      </c>
      <c r="J9" s="35">
        <f t="shared" si="13"/>
        <v>0.45865813428779112</v>
      </c>
      <c r="K9" s="30">
        <f t="shared" si="1"/>
        <v>134.60450607154465</v>
      </c>
      <c r="L9" s="31">
        <f t="shared" si="14"/>
        <v>1013551311377319.1</v>
      </c>
      <c r="M9" s="31">
        <f t="shared" si="15"/>
        <v>1.8323059108688855E+19</v>
      </c>
      <c r="N9" s="30">
        <f t="shared" si="16"/>
        <v>403.81351821463397</v>
      </c>
      <c r="O9" s="31">
        <f t="shared" si="2"/>
        <v>653745101297383</v>
      </c>
      <c r="P9" s="31">
        <f t="shared" si="3"/>
        <v>6.0177087002631201E+19</v>
      </c>
      <c r="Q9" s="30">
        <f t="shared" si="17"/>
        <v>673.02253035772333</v>
      </c>
      <c r="R9" s="31">
        <f t="shared" si="4"/>
        <v>527959117857700</v>
      </c>
      <c r="S9" s="31">
        <f t="shared" si="5"/>
        <v>9.8661812456012366E+19</v>
      </c>
      <c r="T9" s="30">
        <f t="shared" si="18"/>
        <v>942.23154250081257</v>
      </c>
      <c r="U9" s="31">
        <f t="shared" si="19"/>
        <v>454990608339757.56</v>
      </c>
      <c r="V9" s="31">
        <f t="shared" si="6"/>
        <v>1.326917873202205E+20</v>
      </c>
      <c r="W9" s="30">
        <f t="shared" si="20"/>
        <v>1211.440554643902</v>
      </c>
      <c r="X9" s="31">
        <f t="shared" si="21"/>
        <v>404223503967785.06</v>
      </c>
      <c r="Y9" s="31">
        <f t="shared" si="7"/>
        <v>1.6226517553394447E+20</v>
      </c>
      <c r="Z9" s="30">
        <f t="shared" si="22"/>
        <v>1480.6495667869913</v>
      </c>
      <c r="AA9" s="31">
        <f t="shared" si="23"/>
        <v>365441045021690.25</v>
      </c>
      <c r="AB9" s="31">
        <f t="shared" si="8"/>
        <v>1.8767490338720006E+20</v>
      </c>
      <c r="AC9" s="30">
        <f t="shared" si="24"/>
        <v>1749.8585789300803</v>
      </c>
      <c r="AD9" s="31">
        <f t="shared" si="25"/>
        <v>334103226751412.94</v>
      </c>
      <c r="AE9" s="31">
        <f t="shared" si="9"/>
        <v>2.0929732471235687E+20</v>
      </c>
      <c r="AF9" s="30">
        <f t="shared" si="26"/>
        <v>2019.06759107317</v>
      </c>
      <c r="AG9" s="31">
        <f t="shared" si="27"/>
        <v>307829945347495.56</v>
      </c>
      <c r="AH9" s="31">
        <f t="shared" si="10"/>
        <v>2.2751782059958639E+20</v>
      </c>
    </row>
    <row r="10" spans="1:34" ht="15" x14ac:dyDescent="0.25">
      <c r="A10" s="44" t="s">
        <v>67</v>
      </c>
      <c r="B10" s="46">
        <v>0.35</v>
      </c>
      <c r="D10" s="27">
        <v>11</v>
      </c>
      <c r="E10" s="28">
        <f t="shared" si="11"/>
        <v>976.68795642654288</v>
      </c>
      <c r="F10" s="28">
        <f t="shared" si="12"/>
        <v>17907.386873806878</v>
      </c>
      <c r="H10" s="24">
        <f t="shared" si="28"/>
        <v>4.4160683674127457</v>
      </c>
      <c r="I10" s="34">
        <f t="shared" si="0"/>
        <v>8.1878295149875619E-9</v>
      </c>
      <c r="J10" s="35">
        <f t="shared" si="13"/>
        <v>0.45349196256902724</v>
      </c>
      <c r="K10" s="30">
        <f t="shared" si="1"/>
        <v>151.42498527598556</v>
      </c>
      <c r="L10" s="31">
        <f t="shared" si="14"/>
        <v>1011927075348234.6</v>
      </c>
      <c r="M10" s="31">
        <f t="shared" si="15"/>
        <v>2.1914137583298679E+19</v>
      </c>
      <c r="N10" s="30">
        <f t="shared" si="16"/>
        <v>454.27495582795666</v>
      </c>
      <c r="O10" s="31">
        <f t="shared" si="2"/>
        <v>649492130235328.88</v>
      </c>
      <c r="P10" s="31">
        <f t="shared" si="3"/>
        <v>7.0605159260980519E+19</v>
      </c>
      <c r="Q10" s="30">
        <f t="shared" si="17"/>
        <v>757.12492637992784</v>
      </c>
      <c r="R10" s="31">
        <f t="shared" si="4"/>
        <v>521409056639937.13</v>
      </c>
      <c r="S10" s="31">
        <f t="shared" si="5"/>
        <v>1.1410010146212926E+20</v>
      </c>
      <c r="T10" s="30">
        <f t="shared" si="18"/>
        <v>1059.9748969318989</v>
      </c>
      <c r="U10" s="31">
        <f t="shared" si="19"/>
        <v>446414192916709.25</v>
      </c>
      <c r="V10" s="31">
        <f t="shared" si="6"/>
        <v>1.5143595882547462E+20</v>
      </c>
      <c r="W10" s="30">
        <f t="shared" si="20"/>
        <v>1362.8248674838703</v>
      </c>
      <c r="X10" s="31">
        <f t="shared" si="21"/>
        <v>393858683436130.75</v>
      </c>
      <c r="Y10" s="31">
        <f t="shared" si="7"/>
        <v>1.8287297575139528E+20</v>
      </c>
      <c r="Z10" s="30">
        <f t="shared" si="22"/>
        <v>1665.674838035841</v>
      </c>
      <c r="AA10" s="31">
        <f t="shared" si="23"/>
        <v>353501073841420.81</v>
      </c>
      <c r="AB10" s="31">
        <f t="shared" si="8"/>
        <v>2.0896558916797855E+20</v>
      </c>
      <c r="AC10" s="30">
        <f t="shared" si="24"/>
        <v>1968.5248085878122</v>
      </c>
      <c r="AD10" s="31">
        <f t="shared" si="25"/>
        <v>320780848792320.88</v>
      </c>
      <c r="AE10" s="31">
        <f t="shared" si="9"/>
        <v>2.3032112724063683E+20</v>
      </c>
      <c r="AF10" s="30">
        <f t="shared" si="26"/>
        <v>2271.3747791397836</v>
      </c>
      <c r="AG10" s="31">
        <f t="shared" si="27"/>
        <v>293300216945922.38</v>
      </c>
      <c r="AH10" s="31">
        <f t="shared" si="10"/>
        <v>2.4752134800438687E+20</v>
      </c>
    </row>
    <row r="11" spans="1:34" ht="15" x14ac:dyDescent="0.25">
      <c r="A11" s="44" t="s">
        <v>68</v>
      </c>
      <c r="B11" s="46">
        <v>518.38599999999997</v>
      </c>
      <c r="D11" s="27">
        <v>13</v>
      </c>
      <c r="E11" s="28">
        <f t="shared" si="11"/>
        <v>1154.2675848677325</v>
      </c>
      <c r="F11" s="28">
        <f t="shared" si="12"/>
        <v>21163.275396317222</v>
      </c>
      <c r="H11" s="24">
        <f t="shared" si="28"/>
        <v>4.1216638095852289</v>
      </c>
      <c r="I11" s="34">
        <f t="shared" si="0"/>
        <v>7.2306710136361201E-9</v>
      </c>
      <c r="J11" s="35">
        <f t="shared" si="13"/>
        <v>0.44733547123865469</v>
      </c>
      <c r="K11" s="30">
        <f t="shared" si="1"/>
        <v>171.46983473747989</v>
      </c>
      <c r="L11" s="31">
        <f t="shared" si="14"/>
        <v>1009732928939531.9</v>
      </c>
      <c r="M11" s="31">
        <f t="shared" si="15"/>
        <v>2.6417854709166166E+19</v>
      </c>
      <c r="N11" s="30">
        <f t="shared" si="16"/>
        <v>514.40950421243963</v>
      </c>
      <c r="O11" s="31">
        <f t="shared" si="2"/>
        <v>643815062995310.88</v>
      </c>
      <c r="P11" s="31">
        <f t="shared" si="3"/>
        <v>8.3261940655981216E+19</v>
      </c>
      <c r="Q11" s="30">
        <f t="shared" si="17"/>
        <v>857.34917368739934</v>
      </c>
      <c r="R11" s="31">
        <f t="shared" si="4"/>
        <v>512761186750040.25</v>
      </c>
      <c r="S11" s="31">
        <f t="shared" si="5"/>
        <v>1.3223619064912008E+20</v>
      </c>
      <c r="T11" s="30">
        <f t="shared" si="18"/>
        <v>1200.2888431623594</v>
      </c>
      <c r="U11" s="31">
        <f t="shared" si="19"/>
        <v>435211594682718.31</v>
      </c>
      <c r="V11" s="31">
        <f t="shared" si="6"/>
        <v>1.7269897557706061E+20</v>
      </c>
      <c r="W11" s="30">
        <f t="shared" si="20"/>
        <v>1543.2285126373192</v>
      </c>
      <c r="X11" s="31">
        <f t="shared" si="21"/>
        <v>380462704206267.94</v>
      </c>
      <c r="Y11" s="31">
        <f t="shared" si="7"/>
        <v>2.0536420594622054E+20</v>
      </c>
      <c r="Z11" s="30">
        <f t="shared" si="22"/>
        <v>1886.1681821122786</v>
      </c>
      <c r="AA11" s="31">
        <f t="shared" si="23"/>
        <v>338230965097959.75</v>
      </c>
      <c r="AB11" s="31">
        <f t="shared" si="8"/>
        <v>2.3120176595900681E+20</v>
      </c>
      <c r="AC11" s="30">
        <f t="shared" si="24"/>
        <v>2229.1078515872382</v>
      </c>
      <c r="AD11" s="31">
        <f t="shared" si="25"/>
        <v>303920731513203.31</v>
      </c>
      <c r="AE11" s="31">
        <f t="shared" si="9"/>
        <v>2.5116846350588907E+20</v>
      </c>
      <c r="AF11" s="30">
        <f t="shared" si="26"/>
        <v>2572.0475210621985</v>
      </c>
      <c r="AG11" s="31">
        <f t="shared" si="27"/>
        <v>275103812010559.88</v>
      </c>
      <c r="AH11" s="31">
        <f t="shared" si="10"/>
        <v>2.6613212725997375E+20</v>
      </c>
    </row>
    <row r="12" spans="1:34" ht="15" x14ac:dyDescent="0.25">
      <c r="A12" s="44" t="s">
        <v>69</v>
      </c>
      <c r="B12" s="46">
        <v>864</v>
      </c>
      <c r="D12" s="27">
        <v>15</v>
      </c>
      <c r="E12" s="28">
        <f t="shared" si="11"/>
        <v>1331.8472133089222</v>
      </c>
      <c r="F12" s="28">
        <f t="shared" si="12"/>
        <v>24419.163918827566</v>
      </c>
      <c r="H12" s="24">
        <f t="shared" si="28"/>
        <v>3.8272592517577126</v>
      </c>
      <c r="I12" s="34">
        <f t="shared" si="0"/>
        <v>6.3395234434123645E-9</v>
      </c>
      <c r="J12" s="35">
        <f t="shared" si="13"/>
        <v>0.43993241211890005</v>
      </c>
      <c r="K12" s="30">
        <f t="shared" si="1"/>
        <v>195.57336995695437</v>
      </c>
      <c r="L12" s="31">
        <f t="shared" si="14"/>
        <v>1006719065215568.6</v>
      </c>
      <c r="M12" s="31">
        <f t="shared" si="15"/>
        <v>3.2115854595361964E+19</v>
      </c>
      <c r="N12" s="30">
        <f t="shared" si="16"/>
        <v>586.7201098708631</v>
      </c>
      <c r="O12" s="31">
        <f t="shared" si="2"/>
        <v>636133532934725.38</v>
      </c>
      <c r="P12" s="31">
        <f t="shared" si="3"/>
        <v>9.8635904938698424E+19</v>
      </c>
      <c r="Q12" s="30">
        <f t="shared" si="17"/>
        <v>977.86684978477172</v>
      </c>
      <c r="R12" s="31">
        <f t="shared" si="4"/>
        <v>501222375512578.94</v>
      </c>
      <c r="S12" s="31">
        <f t="shared" si="5"/>
        <v>1.5335097757843155E+20</v>
      </c>
      <c r="T12" s="30">
        <f t="shared" si="18"/>
        <v>1369.0135896986806</v>
      </c>
      <c r="U12" s="31">
        <f t="shared" si="19"/>
        <v>420467399908228.5</v>
      </c>
      <c r="V12" s="31">
        <f t="shared" si="6"/>
        <v>1.9631313913904179E+20</v>
      </c>
      <c r="W12" s="30">
        <f t="shared" si="20"/>
        <v>1760.1603296125895</v>
      </c>
      <c r="X12" s="31">
        <f t="shared" si="21"/>
        <v>363069604223119.19</v>
      </c>
      <c r="Y12" s="31">
        <f t="shared" si="7"/>
        <v>2.2901168660711119E+20</v>
      </c>
      <c r="Z12" s="30">
        <f t="shared" si="22"/>
        <v>2151.3070695264978</v>
      </c>
      <c r="AA12" s="31">
        <f t="shared" si="23"/>
        <v>318670902960391.31</v>
      </c>
      <c r="AB12" s="31">
        <f t="shared" si="8"/>
        <v>2.5307464426605835E+20</v>
      </c>
      <c r="AC12" s="30">
        <f t="shared" si="24"/>
        <v>2542.4538094404065</v>
      </c>
      <c r="AD12" s="31">
        <f t="shared" si="25"/>
        <v>282613482435393.56</v>
      </c>
      <c r="AE12" s="31">
        <f t="shared" si="9"/>
        <v>2.6998490970340537E+20</v>
      </c>
      <c r="AF12" s="30">
        <f t="shared" si="26"/>
        <v>2933.6005493543157</v>
      </c>
      <c r="AG12" s="31">
        <f t="shared" si="27"/>
        <v>252415668451068.94</v>
      </c>
      <c r="AH12" s="31">
        <f t="shared" si="10"/>
        <v>2.8102231720307507E+20</v>
      </c>
    </row>
    <row r="13" spans="1:34" ht="15.75" x14ac:dyDescent="0.25">
      <c r="A13" s="44" t="s">
        <v>70</v>
      </c>
      <c r="B13" s="47">
        <v>11.6</v>
      </c>
      <c r="H13" s="24">
        <f t="shared" si="28"/>
        <v>3.5328546939301964</v>
      </c>
      <c r="I13" s="34">
        <f t="shared" si="0"/>
        <v>5.5143868043162936E-9</v>
      </c>
      <c r="J13" s="35">
        <f t="shared" si="13"/>
        <v>0.43094429261592598</v>
      </c>
      <c r="K13" s="30">
        <f t="shared" si="1"/>
        <v>224.83768508563927</v>
      </c>
      <c r="L13" s="31">
        <f t="shared" si="14"/>
        <v>1002503490627353.1</v>
      </c>
      <c r="M13" s="31">
        <f t="shared" si="15"/>
        <v>3.9386169477603967E+19</v>
      </c>
      <c r="N13" s="30">
        <f t="shared" si="16"/>
        <v>674.51305525691794</v>
      </c>
      <c r="O13" s="31">
        <f t="shared" si="2"/>
        <v>625594400234861.38</v>
      </c>
      <c r="P13" s="31">
        <f t="shared" si="3"/>
        <v>1.17256883569042E+20</v>
      </c>
      <c r="Q13" s="30">
        <f t="shared" si="17"/>
        <v>1124.1884254281963</v>
      </c>
      <c r="R13" s="31">
        <f t="shared" si="4"/>
        <v>485675157346896.88</v>
      </c>
      <c r="S13" s="31">
        <f t="shared" si="5"/>
        <v>1.7750638034083886E+20</v>
      </c>
      <c r="T13" s="30">
        <f t="shared" si="18"/>
        <v>1573.8637955994752</v>
      </c>
      <c r="U13" s="31">
        <f t="shared" si="19"/>
        <v>400952216461604.06</v>
      </c>
      <c r="V13" s="31">
        <f t="shared" si="6"/>
        <v>2.2157387753638065E+20</v>
      </c>
      <c r="W13" s="30">
        <f t="shared" si="20"/>
        <v>2023.5391657707539</v>
      </c>
      <c r="X13" s="31">
        <f t="shared" si="21"/>
        <v>340452470602614.75</v>
      </c>
      <c r="Y13" s="31">
        <f t="shared" si="7"/>
        <v>2.5226427601794761E+20</v>
      </c>
      <c r="Z13" s="30">
        <f t="shared" si="22"/>
        <v>2473.2145359420319</v>
      </c>
      <c r="AA13" s="31">
        <f t="shared" si="23"/>
        <v>293681145649704.44</v>
      </c>
      <c r="AB13" s="31">
        <f t="shared" si="8"/>
        <v>2.7224177377271697E+20</v>
      </c>
      <c r="AC13" s="30">
        <f t="shared" si="24"/>
        <v>2922.8899061133106</v>
      </c>
      <c r="AD13" s="31">
        <f t="shared" si="25"/>
        <v>255867219632704.88</v>
      </c>
      <c r="AE13" s="31">
        <f t="shared" si="9"/>
        <v>2.8376981898236992E+20</v>
      </c>
      <c r="AF13" s="30">
        <f t="shared" si="26"/>
        <v>3372.5652762845898</v>
      </c>
      <c r="AG13" s="31">
        <f t="shared" si="27"/>
        <v>224433200679655.94</v>
      </c>
      <c r="AH13" s="31">
        <f t="shared" si="10"/>
        <v>2.8870563492779688E+20</v>
      </c>
    </row>
    <row r="14" spans="1:34" ht="15" x14ac:dyDescent="0.25">
      <c r="A14" s="44" t="s">
        <v>71</v>
      </c>
      <c r="B14" s="47">
        <v>2.5192064617378999E-10</v>
      </c>
      <c r="H14" s="24">
        <f t="shared" si="28"/>
        <v>3.2384501361026801</v>
      </c>
      <c r="I14" s="34">
        <f t="shared" si="0"/>
        <v>4.7552610963479098E-9</v>
      </c>
      <c r="J14" s="35">
        <f t="shared" si="13"/>
        <v>0.41992030009584053</v>
      </c>
      <c r="K14" s="30">
        <f t="shared" si="1"/>
        <v>260.73057580402542</v>
      </c>
      <c r="L14" s="31">
        <f t="shared" si="14"/>
        <v>996490287407566.63</v>
      </c>
      <c r="M14" s="31">
        <f t="shared" si="15"/>
        <v>4.8732649226058408E+19</v>
      </c>
      <c r="N14" s="30">
        <f t="shared" si="16"/>
        <v>782.19172741207626</v>
      </c>
      <c r="O14" s="31">
        <f t="shared" si="2"/>
        <v>610935170888191.63</v>
      </c>
      <c r="P14" s="31">
        <f t="shared" si="3"/>
        <v>1.3960398341268511E+20</v>
      </c>
      <c r="Q14" s="30">
        <f t="shared" si="17"/>
        <v>1303.6528790201271</v>
      </c>
      <c r="R14" s="31">
        <f t="shared" si="4"/>
        <v>464560905545072.88</v>
      </c>
      <c r="S14" s="31">
        <f t="shared" si="5"/>
        <v>2.042515877976857E+20</v>
      </c>
      <c r="T14" s="30">
        <f t="shared" si="18"/>
        <v>1825.1140306281782</v>
      </c>
      <c r="U14" s="31">
        <f t="shared" si="19"/>
        <v>375068215503261.94</v>
      </c>
      <c r="V14" s="31">
        <f t="shared" si="6"/>
        <v>2.4679222910547647E+20</v>
      </c>
      <c r="W14" s="30">
        <f t="shared" si="20"/>
        <v>2346.575182236229</v>
      </c>
      <c r="X14" s="31">
        <f t="shared" si="21"/>
        <v>311150704671623</v>
      </c>
      <c r="Y14" s="31">
        <f t="shared" si="7"/>
        <v>2.7224442441929723E+20</v>
      </c>
      <c r="Z14" s="30">
        <f t="shared" si="22"/>
        <v>2868.0363338442794</v>
      </c>
      <c r="AA14" s="31">
        <f t="shared" si="23"/>
        <v>262056184852021.16</v>
      </c>
      <c r="AB14" s="31">
        <f t="shared" si="8"/>
        <v>2.8487789318670336E+20</v>
      </c>
      <c r="AC14" s="30">
        <f t="shared" si="24"/>
        <v>3389.4974854523298</v>
      </c>
      <c r="AD14" s="31">
        <f t="shared" si="25"/>
        <v>222803229969416.69</v>
      </c>
      <c r="AE14" s="31">
        <f t="shared" si="9"/>
        <v>2.8807491858337097E+20</v>
      </c>
      <c r="AF14" s="30">
        <f t="shared" si="26"/>
        <v>3910.9586370603815</v>
      </c>
      <c r="AG14" s="31">
        <f t="shared" si="27"/>
        <v>190641422572068.72</v>
      </c>
      <c r="AH14" s="31">
        <f t="shared" si="10"/>
        <v>2.8445449839514049E+20</v>
      </c>
    </row>
    <row r="15" spans="1:34" ht="15" x14ac:dyDescent="0.25">
      <c r="A15" s="44" t="s">
        <v>72</v>
      </c>
      <c r="B15" s="46">
        <v>0.01</v>
      </c>
      <c r="H15" s="24">
        <f t="shared" si="28"/>
        <v>2.9440455782751638</v>
      </c>
      <c r="I15" s="34">
        <f t="shared" si="0"/>
        <v>4.0621463195072107E-9</v>
      </c>
      <c r="J15" s="35">
        <f t="shared" si="13"/>
        <v>0.40625648324562053</v>
      </c>
      <c r="K15" s="30">
        <f t="shared" si="1"/>
        <v>305.21844026034</v>
      </c>
      <c r="L15" s="31">
        <f t="shared" si="14"/>
        <v>987731136189025.25</v>
      </c>
      <c r="M15" s="31">
        <f t="shared" si="15"/>
        <v>6.0812794350793056E+19</v>
      </c>
      <c r="N15" s="30">
        <f t="shared" si="16"/>
        <v>915.65532078102001</v>
      </c>
      <c r="O15" s="31">
        <f t="shared" si="2"/>
        <v>590287825093394.5</v>
      </c>
      <c r="P15" s="31">
        <f t="shared" si="3"/>
        <v>1.6587882663154146E+20</v>
      </c>
      <c r="Q15" s="30">
        <f t="shared" si="17"/>
        <v>1526.0922013016998</v>
      </c>
      <c r="R15" s="31">
        <f t="shared" si="4"/>
        <v>435764788999183.13</v>
      </c>
      <c r="S15" s="31">
        <f t="shared" si="5"/>
        <v>2.3208510537533184E+20</v>
      </c>
      <c r="T15" s="30">
        <f t="shared" si="18"/>
        <v>2136.5290818223802</v>
      </c>
      <c r="U15" s="31">
        <f t="shared" si="19"/>
        <v>340875697163335.94</v>
      </c>
      <c r="V15" s="31">
        <f t="shared" si="6"/>
        <v>2.6861565657641612E+20</v>
      </c>
      <c r="W15" s="30">
        <f t="shared" si="20"/>
        <v>2746.9659623430603</v>
      </c>
      <c r="X15" s="31">
        <f t="shared" si="21"/>
        <v>273656761381141.09</v>
      </c>
      <c r="Y15" s="31">
        <f t="shared" si="7"/>
        <v>2.8415494546741523E+20</v>
      </c>
      <c r="Z15" s="30">
        <f t="shared" si="22"/>
        <v>3357.4028428637398</v>
      </c>
      <c r="AA15" s="31">
        <f t="shared" si="23"/>
        <v>222855034879438.19</v>
      </c>
      <c r="AB15" s="31">
        <f t="shared" si="8"/>
        <v>2.8536105756802623E+20</v>
      </c>
      <c r="AC15" s="30">
        <f t="shared" si="24"/>
        <v>3967.8397233844198</v>
      </c>
      <c r="AD15" s="31">
        <f t="shared" si="25"/>
        <v>183098482183829.47</v>
      </c>
      <c r="AE15" s="31">
        <f t="shared" si="9"/>
        <v>2.7710168501518215E+20</v>
      </c>
      <c r="AF15" s="30">
        <f t="shared" si="26"/>
        <v>4578.2766039051003</v>
      </c>
      <c r="AG15" s="31">
        <f t="shared" si="27"/>
        <v>151328853952905.13</v>
      </c>
      <c r="AH15" s="31">
        <f t="shared" si="10"/>
        <v>2.6287185196040972E+20</v>
      </c>
    </row>
    <row r="16" spans="1:34" ht="15" x14ac:dyDescent="0.25">
      <c r="A16" s="44" t="s">
        <v>73</v>
      </c>
      <c r="B16" s="46">
        <v>8.4666891478398995E-4</v>
      </c>
      <c r="D16" s="4"/>
      <c r="H16" s="24">
        <f t="shared" si="28"/>
        <v>2.6496410204476475</v>
      </c>
      <c r="I16" s="34">
        <f t="shared" si="0"/>
        <v>3.4350424737941974E-9</v>
      </c>
      <c r="J16" s="35">
        <f t="shared" si="13"/>
        <v>0.38914259882765001</v>
      </c>
      <c r="K16" s="30">
        <f t="shared" si="1"/>
        <v>360.939340112379</v>
      </c>
      <c r="L16" s="31">
        <f t="shared" si="14"/>
        <v>974688808814473.25</v>
      </c>
      <c r="M16" s="31">
        <f t="shared" si="15"/>
        <v>7.6442313711361786E+19</v>
      </c>
      <c r="N16" s="30">
        <f t="shared" si="16"/>
        <v>1082.8180203371371</v>
      </c>
      <c r="O16" s="31">
        <f t="shared" si="2"/>
        <v>560924591554717.75</v>
      </c>
      <c r="P16" s="31">
        <f t="shared" si="3"/>
        <v>1.9550828729444562E+20</v>
      </c>
      <c r="Q16" s="30">
        <f t="shared" si="17"/>
        <v>1804.6967005618949</v>
      </c>
      <c r="R16" s="31">
        <f t="shared" si="4"/>
        <v>396593197060107.13</v>
      </c>
      <c r="S16" s="31">
        <f t="shared" si="5"/>
        <v>2.5756217137389748E+20</v>
      </c>
      <c r="T16" s="30">
        <f t="shared" si="18"/>
        <v>2526.5753807866536</v>
      </c>
      <c r="U16" s="31">
        <f t="shared" si="19"/>
        <v>296371057484545.69</v>
      </c>
      <c r="V16" s="31">
        <f t="shared" si="6"/>
        <v>2.8120569249631761E+20</v>
      </c>
      <c r="W16" s="30">
        <f t="shared" si="20"/>
        <v>3248.4540610114123</v>
      </c>
      <c r="X16" s="31">
        <f t="shared" si="21"/>
        <v>226956176415192.97</v>
      </c>
      <c r="Y16" s="31">
        <f t="shared" si="7"/>
        <v>2.8095561892691552E+20</v>
      </c>
      <c r="Z16" s="30">
        <f t="shared" si="22"/>
        <v>3970.3327412361696</v>
      </c>
      <c r="AA16" s="31">
        <f t="shared" si="23"/>
        <v>176126483720763.22</v>
      </c>
      <c r="AB16" s="31">
        <f t="shared" si="8"/>
        <v>2.6671442616725245E+20</v>
      </c>
      <c r="AC16" s="30">
        <f t="shared" si="24"/>
        <v>4692.2114214609273</v>
      </c>
      <c r="AD16" s="31">
        <f t="shared" si="25"/>
        <v>137800268465234.41</v>
      </c>
      <c r="AE16" s="31">
        <f t="shared" si="9"/>
        <v>2.4498710216637481E+20</v>
      </c>
      <c r="AF16" s="30">
        <f t="shared" si="26"/>
        <v>5414.090101685686</v>
      </c>
      <c r="AG16" s="31">
        <f t="shared" si="27"/>
        <v>108399111493047.14</v>
      </c>
      <c r="AH16" s="31">
        <f t="shared" si="10"/>
        <v>2.1994685566673211E+20</v>
      </c>
    </row>
    <row r="17" spans="1:34" ht="15" x14ac:dyDescent="0.25">
      <c r="A17" s="44" t="s">
        <v>74</v>
      </c>
      <c r="B17" s="46">
        <v>1.357</v>
      </c>
      <c r="H17" s="24">
        <f t="shared" si="28"/>
        <v>2.3552364626201312</v>
      </c>
      <c r="I17" s="34">
        <f t="shared" si="0"/>
        <v>2.8739495592088705E-9</v>
      </c>
      <c r="J17" s="35">
        <f t="shared" si="13"/>
        <v>0.36749945546494206</v>
      </c>
      <c r="K17" s="30">
        <f t="shared" si="1"/>
        <v>431.40700217806557</v>
      </c>
      <c r="L17" s="31">
        <f t="shared" si="14"/>
        <v>954835137202566.75</v>
      </c>
      <c r="M17" s="31">
        <f t="shared" si="15"/>
        <v>9.6515432330626286E+19</v>
      </c>
      <c r="N17" s="30">
        <f t="shared" si="16"/>
        <v>1294.2210065341967</v>
      </c>
      <c r="O17" s="31">
        <f t="shared" si="2"/>
        <v>519015767369222.06</v>
      </c>
      <c r="P17" s="31">
        <f t="shared" si="3"/>
        <v>2.2615820573166315E+20</v>
      </c>
      <c r="Q17" s="30">
        <f t="shared" si="17"/>
        <v>2157.0350108903276</v>
      </c>
      <c r="R17" s="31">
        <f t="shared" si="4"/>
        <v>344087299329326.75</v>
      </c>
      <c r="S17" s="31">
        <f t="shared" si="5"/>
        <v>2.7407786248391501E+20</v>
      </c>
      <c r="T17" s="30">
        <f t="shared" si="18"/>
        <v>3019.8490152464592</v>
      </c>
      <c r="U17" s="31">
        <f t="shared" si="19"/>
        <v>240329115789670</v>
      </c>
      <c r="V17" s="31">
        <f t="shared" si="6"/>
        <v>2.7582591124539982E+20</v>
      </c>
      <c r="W17" s="30">
        <f t="shared" si="20"/>
        <v>3882.6630196025903</v>
      </c>
      <c r="X17" s="31">
        <f t="shared" si="21"/>
        <v>171698061190831.81</v>
      </c>
      <c r="Y17" s="31">
        <f t="shared" si="7"/>
        <v>2.543639350591815E+20</v>
      </c>
      <c r="Z17" s="30">
        <f t="shared" si="22"/>
        <v>4745.4770239587206</v>
      </c>
      <c r="AA17" s="31">
        <f t="shared" si="23"/>
        <v>124163019841167.47</v>
      </c>
      <c r="AB17" s="31">
        <f t="shared" si="8"/>
        <v>2.2309467236089761E+20</v>
      </c>
      <c r="AC17" s="30">
        <f t="shared" si="24"/>
        <v>5608.2910283148512</v>
      </c>
      <c r="AD17" s="31">
        <f t="shared" si="25"/>
        <v>90450597329060.703</v>
      </c>
      <c r="AE17" s="31">
        <f t="shared" si="9"/>
        <v>1.8946103453699237E+20</v>
      </c>
      <c r="AF17" s="30">
        <f t="shared" si="26"/>
        <v>6471.1050326709837</v>
      </c>
      <c r="AG17" s="31">
        <f t="shared" si="27"/>
        <v>66210478519868.063</v>
      </c>
      <c r="AH17" s="31">
        <f t="shared" si="10"/>
        <v>1.5734902135871426E+20</v>
      </c>
    </row>
    <row r="18" spans="1:34" ht="15" x14ac:dyDescent="0.25">
      <c r="A18" s="44" t="s">
        <v>75</v>
      </c>
      <c r="B18" s="46">
        <v>1.6</v>
      </c>
      <c r="H18" s="24">
        <f t="shared" si="28"/>
        <v>2.0608319047926149</v>
      </c>
      <c r="I18" s="34">
        <f t="shared" si="0"/>
        <v>2.3788675757512282E-9</v>
      </c>
      <c r="J18" s="35">
        <f t="shared" si="13"/>
        <v>0.33992388418627656</v>
      </c>
      <c r="K18" s="30">
        <f t="shared" si="1"/>
        <v>521.18998820593822</v>
      </c>
      <c r="L18" s="31">
        <f t="shared" si="14"/>
        <v>923989029728975</v>
      </c>
      <c r="M18" s="31">
        <f t="shared" si="15"/>
        <v>1.2168709365909478E+20</v>
      </c>
      <c r="N18" s="30">
        <f t="shared" si="16"/>
        <v>1563.5699646178148</v>
      </c>
      <c r="O18" s="31">
        <f t="shared" si="2"/>
        <v>459683665926572.5</v>
      </c>
      <c r="P18" s="31">
        <f t="shared" si="3"/>
        <v>2.5204583249635715E+20</v>
      </c>
      <c r="Q18" s="30">
        <f t="shared" si="17"/>
        <v>2605.9499410296912</v>
      </c>
      <c r="R18" s="31">
        <f t="shared" si="4"/>
        <v>276225718133561.06</v>
      </c>
      <c r="S18" s="31">
        <f t="shared" si="5"/>
        <v>2.7103158221498997E+20</v>
      </c>
      <c r="T18" s="30">
        <f t="shared" si="18"/>
        <v>3648.3299174415679</v>
      </c>
      <c r="U18" s="31">
        <f t="shared" si="19"/>
        <v>174168661399819.59</v>
      </c>
      <c r="V18" s="31">
        <f t="shared" si="6"/>
        <v>2.4255594529413323E+20</v>
      </c>
      <c r="W18" s="30">
        <f t="shared" si="20"/>
        <v>4690.7098938534455</v>
      </c>
      <c r="X18" s="31">
        <f t="shared" si="21"/>
        <v>112085161310679.28</v>
      </c>
      <c r="Y18" s="31">
        <f t="shared" si="7"/>
        <v>1.9920973292013489E+20</v>
      </c>
      <c r="Z18" s="30">
        <f t="shared" si="22"/>
        <v>5733.0898702653203</v>
      </c>
      <c r="AA18" s="31">
        <f t="shared" si="23"/>
        <v>72913280704006.406</v>
      </c>
      <c r="AB18" s="31">
        <f t="shared" si="8"/>
        <v>1.5576873299820292E+20</v>
      </c>
      <c r="AC18" s="30">
        <f t="shared" si="24"/>
        <v>6775.469846677197</v>
      </c>
      <c r="AD18" s="31">
        <f t="shared" si="25"/>
        <v>47737898737560.219</v>
      </c>
      <c r="AE18" s="31">
        <f t="shared" si="9"/>
        <v>1.1802744429393602E+20</v>
      </c>
      <c r="AF18" s="30">
        <f t="shared" si="26"/>
        <v>7817.8498230890737</v>
      </c>
      <c r="AG18" s="31">
        <f t="shared" si="27"/>
        <v>31386037338472.371</v>
      </c>
      <c r="AH18" s="31">
        <f t="shared" si="10"/>
        <v>8.750909787119557E+19</v>
      </c>
    </row>
    <row r="19" spans="1:34" ht="15" x14ac:dyDescent="0.25">
      <c r="A19" s="44" t="s">
        <v>76</v>
      </c>
      <c r="B19" s="48">
        <f>ABS(1/(B9*1000000000*B4/(B5*B6^2)))*1000</f>
        <v>0.17033298068619876</v>
      </c>
      <c r="H19" s="24">
        <f t="shared" si="28"/>
        <v>1.7664273469650984</v>
      </c>
      <c r="I19" s="34">
        <f t="shared" si="0"/>
        <v>1.9497965234212714E-9</v>
      </c>
      <c r="J19" s="35">
        <f t="shared" si="13"/>
        <v>0.30469763024642044</v>
      </c>
      <c r="K19" s="30">
        <f t="shared" si="1"/>
        <v>635.88274409975054</v>
      </c>
      <c r="L19" s="31">
        <f t="shared" si="14"/>
        <v>875326277647764.25</v>
      </c>
      <c r="M19" s="31">
        <f t="shared" si="15"/>
        <v>1.5147313879535056E+20</v>
      </c>
      <c r="N19" s="30">
        <f t="shared" si="16"/>
        <v>1907.6482322992517</v>
      </c>
      <c r="O19" s="31">
        <f t="shared" si="2"/>
        <v>378165446489921.13</v>
      </c>
      <c r="P19" s="31">
        <f t="shared" si="3"/>
        <v>2.6189863413889817E+20</v>
      </c>
      <c r="Q19" s="30">
        <f t="shared" si="17"/>
        <v>3179.4137204987524</v>
      </c>
      <c r="R19" s="31">
        <f t="shared" si="4"/>
        <v>194827745069022.59</v>
      </c>
      <c r="S19" s="31">
        <f t="shared" si="5"/>
        <v>2.3590013498750737E+20</v>
      </c>
      <c r="T19" s="30">
        <f t="shared" si="18"/>
        <v>4451.1792086982541</v>
      </c>
      <c r="U19" s="31">
        <f t="shared" si="19"/>
        <v>104806696536186.78</v>
      </c>
      <c r="V19" s="31">
        <f t="shared" si="6"/>
        <v>1.7725582082871027E+20</v>
      </c>
      <c r="W19" s="30">
        <f t="shared" si="20"/>
        <v>5722.9446968977554</v>
      </c>
      <c r="X19" s="31">
        <f t="shared" si="21"/>
        <v>57398346190543.047</v>
      </c>
      <c r="Y19" s="31">
        <f t="shared" si="7"/>
        <v>1.2242934825151916E+20</v>
      </c>
      <c r="Z19" s="30">
        <f t="shared" si="22"/>
        <v>6994.7101850972558</v>
      </c>
      <c r="AA19" s="31">
        <f t="shared" si="23"/>
        <v>31727364394053.504</v>
      </c>
      <c r="AB19" s="31">
        <f t="shared" si="8"/>
        <v>8.0600681661083615E+19</v>
      </c>
      <c r="AC19" s="30">
        <f t="shared" si="24"/>
        <v>8266.4756732967562</v>
      </c>
      <c r="AD19" s="31">
        <f t="shared" si="25"/>
        <v>17633524036262.242</v>
      </c>
      <c r="AE19" s="31">
        <f t="shared" si="9"/>
        <v>5.1461981317780537E+19</v>
      </c>
      <c r="AF19" s="30">
        <f t="shared" si="26"/>
        <v>9538.2411614962584</v>
      </c>
      <c r="AG19" s="31">
        <f t="shared" si="27"/>
        <v>9834777418198.9453</v>
      </c>
      <c r="AH19" s="31">
        <f t="shared" si="10"/>
        <v>3.2171619089385988E+19</v>
      </c>
    </row>
    <row r="20" spans="1:34" ht="15" x14ac:dyDescent="0.25">
      <c r="A20" s="44" t="s">
        <v>77</v>
      </c>
      <c r="B20" s="48">
        <f>1/B19*1000</f>
        <v>5870.853641916131</v>
      </c>
      <c r="H20" s="24">
        <f t="shared" si="28"/>
        <v>1.4720227891375819</v>
      </c>
      <c r="I20" s="34">
        <f t="shared" si="0"/>
        <v>1.5867364022190002E-9</v>
      </c>
      <c r="J20" s="35">
        <f t="shared" si="13"/>
        <v>0.2600106224140768</v>
      </c>
      <c r="K20" s="30">
        <f t="shared" si="1"/>
        <v>781.37866000640838</v>
      </c>
      <c r="L20" s="31">
        <f t="shared" si="14"/>
        <v>798285671891032</v>
      </c>
      <c r="M20" s="31">
        <f t="shared" si="15"/>
        <v>1.8216378579777546E+20</v>
      </c>
      <c r="N20" s="30">
        <f t="shared" si="16"/>
        <v>2344.1359800192249</v>
      </c>
      <c r="O20" s="31">
        <f t="shared" si="2"/>
        <v>273755360082729.38</v>
      </c>
      <c r="P20" s="31">
        <f t="shared" si="3"/>
        <v>2.3924979197598207E+20</v>
      </c>
      <c r="Q20" s="30">
        <f t="shared" si="17"/>
        <v>3906.8933000320408</v>
      </c>
      <c r="R20" s="31">
        <f t="shared" si="4"/>
        <v>110130223149235.33</v>
      </c>
      <c r="S20" s="31">
        <f t="shared" si="5"/>
        <v>1.641563221486977E+20</v>
      </c>
      <c r="T20" s="30">
        <f t="shared" si="18"/>
        <v>5469.6506200448584</v>
      </c>
      <c r="U20" s="31">
        <f t="shared" si="19"/>
        <v>45995492282104.648</v>
      </c>
      <c r="V20" s="31">
        <f t="shared" si="6"/>
        <v>9.4193951609969017E+19</v>
      </c>
      <c r="W20" s="30">
        <f t="shared" si="20"/>
        <v>7032.4079400576757</v>
      </c>
      <c r="X20" s="31">
        <f t="shared" si="21"/>
        <v>19501729194915.57</v>
      </c>
      <c r="Y20" s="31">
        <f t="shared" si="7"/>
        <v>4.9768817562672742E+19</v>
      </c>
      <c r="Z20" s="30">
        <f t="shared" si="22"/>
        <v>8595.1652600704911</v>
      </c>
      <c r="AA20" s="31">
        <f t="shared" si="23"/>
        <v>8332096445357.7324</v>
      </c>
      <c r="AB20" s="31">
        <f t="shared" si="8"/>
        <v>2.5095104980539855E+19</v>
      </c>
      <c r="AC20" s="30">
        <f t="shared" si="24"/>
        <v>10157.922580083308</v>
      </c>
      <c r="AD20" s="31">
        <f t="shared" si="25"/>
        <v>3575715128578.7046</v>
      </c>
      <c r="AE20" s="31">
        <f t="shared" si="9"/>
        <v>1.228278136676533E+19</v>
      </c>
      <c r="AF20" s="30">
        <f t="shared" si="26"/>
        <v>11720.679900096124</v>
      </c>
      <c r="AG20" s="31">
        <f t="shared" si="27"/>
        <v>1538836293580.3372</v>
      </c>
      <c r="AH20" s="31">
        <f t="shared" si="10"/>
        <v>5.8901477931075072E+18</v>
      </c>
    </row>
    <row r="21" spans="1:34" ht="15" x14ac:dyDescent="0.25">
      <c r="A21" s="44" t="s">
        <v>78</v>
      </c>
      <c r="B21" s="49">
        <v>1.84E-2</v>
      </c>
      <c r="H21" s="24">
        <f t="shared" si="28"/>
        <v>1.1776182313100654</v>
      </c>
      <c r="I21" s="34">
        <f t="shared" si="0"/>
        <v>1.2896872121444148E-9</v>
      </c>
      <c r="J21" s="35">
        <f t="shared" si="13"/>
        <v>0.20473470002986713</v>
      </c>
      <c r="K21" s="30">
        <f t="shared" si="1"/>
        <v>961.35090126832881</v>
      </c>
      <c r="L21" s="31">
        <f t="shared" si="14"/>
        <v>678776701581203.75</v>
      </c>
      <c r="M21" s="31">
        <f t="shared" si="15"/>
        <v>2.0316333423382289E+20</v>
      </c>
      <c r="N21" s="30">
        <f t="shared" si="16"/>
        <v>2884.0527038049868</v>
      </c>
      <c r="O21" s="31">
        <f t="shared" si="2"/>
        <v>157848410864346.47</v>
      </c>
      <c r="P21" s="31">
        <f t="shared" si="3"/>
        <v>1.7260842140234904E+20</v>
      </c>
      <c r="Q21" s="30">
        <f t="shared" si="17"/>
        <v>4806.7545063416437</v>
      </c>
      <c r="R21" s="31">
        <f t="shared" si="4"/>
        <v>42206543635286.734</v>
      </c>
      <c r="S21" s="31">
        <f t="shared" si="5"/>
        <v>7.675268568234754E+19</v>
      </c>
      <c r="T21" s="30">
        <f t="shared" si="18"/>
        <v>6729.4563088783025</v>
      </c>
      <c r="U21" s="31">
        <f t="shared" si="19"/>
        <v>11641059872969.123</v>
      </c>
      <c r="V21" s="31">
        <f t="shared" si="6"/>
        <v>2.8613943347587174E+19</v>
      </c>
      <c r="W21" s="30">
        <f t="shared" si="20"/>
        <v>8652.1581114149612</v>
      </c>
      <c r="X21" s="31">
        <f t="shared" si="21"/>
        <v>3249883469191.4019</v>
      </c>
      <c r="Y21" s="31">
        <f t="shared" si="7"/>
        <v>9.8403088691611156E+18</v>
      </c>
      <c r="Z21" s="30">
        <f t="shared" si="22"/>
        <v>10574.859913951617</v>
      </c>
      <c r="AA21" s="31">
        <f t="shared" si="23"/>
        <v>912764079846.23364</v>
      </c>
      <c r="AB21" s="31">
        <f t="shared" si="8"/>
        <v>3.2335372755048044E+18</v>
      </c>
      <c r="AC21" s="30">
        <f t="shared" si="24"/>
        <v>12497.561716488275</v>
      </c>
      <c r="AD21" s="31">
        <f t="shared" si="25"/>
        <v>257242652247.93546</v>
      </c>
      <c r="AE21" s="31">
        <f t="shared" si="9"/>
        <v>1.0323059425997373E+18</v>
      </c>
      <c r="AF21" s="30">
        <f t="shared" si="26"/>
        <v>14420.263519024935</v>
      </c>
      <c r="AG21" s="31">
        <f t="shared" si="27"/>
        <v>72654451075.732071</v>
      </c>
      <c r="AH21" s="31">
        <f t="shared" si="10"/>
        <v>3.2310499607942106E+17</v>
      </c>
    </row>
    <row r="22" spans="1:34" ht="15" x14ac:dyDescent="0.25">
      <c r="A22" s="44" t="s">
        <v>79</v>
      </c>
      <c r="B22" s="49">
        <v>1.9980000000000002E-3</v>
      </c>
      <c r="H22" s="24">
        <f t="shared" si="28"/>
        <v>0.88321367348254887</v>
      </c>
      <c r="I22" s="34">
        <f t="shared" si="0"/>
        <v>1.0586489531975152E-9</v>
      </c>
      <c r="J22" s="35">
        <f t="shared" si="13"/>
        <v>0.14029636036449364</v>
      </c>
      <c r="K22" s="30">
        <f t="shared" si="1"/>
        <v>1171.1549517944413</v>
      </c>
      <c r="L22" s="31">
        <f t="shared" si="14"/>
        <v>505149237949744.31</v>
      </c>
      <c r="M22" s="31">
        <f t="shared" si="15"/>
        <v>1.9437956291149247E+20</v>
      </c>
      <c r="N22" s="30">
        <f t="shared" si="16"/>
        <v>3513.464855383324</v>
      </c>
      <c r="O22" s="31">
        <f t="shared" si="2"/>
        <v>59950457513195.047</v>
      </c>
      <c r="P22" s="31">
        <f t="shared" si="3"/>
        <v>8.0388377859069526E+19</v>
      </c>
      <c r="Q22" s="30">
        <f t="shared" si="17"/>
        <v>5855.7747589722048</v>
      </c>
      <c r="R22" s="31">
        <f t="shared" si="4"/>
        <v>7996385220470.7227</v>
      </c>
      <c r="S22" s="31">
        <f t="shared" si="5"/>
        <v>1.7408519526412706E+19</v>
      </c>
      <c r="T22" s="30">
        <f t="shared" si="18"/>
        <v>8198.0846625610884</v>
      </c>
      <c r="U22" s="31">
        <f t="shared" si="19"/>
        <v>1092894945171.1027</v>
      </c>
      <c r="V22" s="31">
        <f t="shared" si="6"/>
        <v>3.1680463002412278E+18</v>
      </c>
      <c r="W22" s="30">
        <f t="shared" si="20"/>
        <v>10540.394566149973</v>
      </c>
      <c r="X22" s="31">
        <f t="shared" si="21"/>
        <v>150753086413.37622</v>
      </c>
      <c r="Y22" s="31">
        <f t="shared" si="7"/>
        <v>5.3272659526330797E+17</v>
      </c>
      <c r="Z22" s="30">
        <f t="shared" si="22"/>
        <v>12882.704469738852</v>
      </c>
      <c r="AA22" s="31">
        <f t="shared" si="23"/>
        <v>20888285696.503025</v>
      </c>
      <c r="AB22" s="31">
        <f t="shared" si="8"/>
        <v>8.5696671695424944E+16</v>
      </c>
      <c r="AC22" s="30">
        <f t="shared" si="24"/>
        <v>15225.014373327736</v>
      </c>
      <c r="AD22" s="31">
        <f t="shared" si="25"/>
        <v>2901590050.2329326</v>
      </c>
      <c r="AE22" s="31">
        <f t="shared" si="9"/>
        <v>1.3404280652869474E+16</v>
      </c>
      <c r="AF22" s="30">
        <f t="shared" si="26"/>
        <v>17567.324276916617</v>
      </c>
      <c r="AG22" s="31">
        <f t="shared" si="27"/>
        <v>403690061.4206906</v>
      </c>
      <c r="AH22" s="31">
        <f t="shared" si="10"/>
        <v>2056781270108300.8</v>
      </c>
    </row>
    <row r="23" spans="1:34" ht="15" x14ac:dyDescent="0.25">
      <c r="A23" s="44" t="s">
        <v>80</v>
      </c>
      <c r="B23" s="49">
        <v>1.3559999999999999E-2</v>
      </c>
      <c r="H23" s="24">
        <f t="shared" si="28"/>
        <v>0.58880911565503236</v>
      </c>
      <c r="I23" s="34">
        <f t="shared" si="0"/>
        <v>8.9362162537830119E-10</v>
      </c>
      <c r="J23" s="35">
        <f t="shared" si="13"/>
        <v>7.3868994721049644E-2</v>
      </c>
      <c r="K23" s="30">
        <f t="shared" si="1"/>
        <v>1387.4350491735283</v>
      </c>
      <c r="L23" s="31">
        <f t="shared" si="14"/>
        <v>287443684137014.63</v>
      </c>
      <c r="M23" s="31">
        <f t="shared" si="15"/>
        <v>1.3641522086465184E+20</v>
      </c>
      <c r="N23" s="30">
        <f t="shared" si="16"/>
        <v>4162.3051475205857</v>
      </c>
      <c r="O23" s="31">
        <f t="shared" si="2"/>
        <v>10086245405965.898</v>
      </c>
      <c r="P23" s="31">
        <f t="shared" si="3"/>
        <v>1.5993284638912147E+19</v>
      </c>
      <c r="Q23" s="30">
        <f t="shared" si="17"/>
        <v>6937.1752458676419</v>
      </c>
      <c r="R23" s="31">
        <f t="shared" si="4"/>
        <v>388805539850.44574</v>
      </c>
      <c r="S23" s="31">
        <f t="shared" si="5"/>
        <v>9.8082147896410778E+17</v>
      </c>
      <c r="T23" s="30">
        <f t="shared" si="18"/>
        <v>9712.0453442146991</v>
      </c>
      <c r="U23" s="31">
        <f t="shared" si="19"/>
        <v>15263247878.87216</v>
      </c>
      <c r="V23" s="31">
        <f t="shared" si="6"/>
        <v>5.0638382316397136E+16</v>
      </c>
      <c r="W23" s="30">
        <f t="shared" si="20"/>
        <v>12486.915442561756</v>
      </c>
      <c r="X23" s="31">
        <f t="shared" si="21"/>
        <v>603187093.43156946</v>
      </c>
      <c r="Y23" s="31">
        <f t="shared" si="7"/>
        <v>2419062051156867.5</v>
      </c>
      <c r="Z23" s="30">
        <f t="shared" si="22"/>
        <v>15261.785540908813</v>
      </c>
      <c r="AA23" s="31">
        <f t="shared" si="23"/>
        <v>23913050.287944734</v>
      </c>
      <c r="AB23" s="31">
        <f t="shared" si="8"/>
        <v>110655118213982.48</v>
      </c>
      <c r="AC23" s="30">
        <f t="shared" si="24"/>
        <v>18036.65563925587</v>
      </c>
      <c r="AD23" s="31">
        <f t="shared" si="25"/>
        <v>949690.77595332265</v>
      </c>
      <c r="AE23" s="31">
        <f t="shared" si="9"/>
        <v>4924968984688.3398</v>
      </c>
      <c r="AF23" s="30">
        <f t="shared" si="26"/>
        <v>20811.525737602926</v>
      </c>
      <c r="AG23" s="31">
        <f t="shared" si="27"/>
        <v>37757.006927774702</v>
      </c>
      <c r="AH23" s="31">
        <f t="shared" si="10"/>
        <v>215133314995.10379</v>
      </c>
    </row>
    <row r="24" spans="1:34" ht="15" x14ac:dyDescent="0.25">
      <c r="A24" s="44" t="s">
        <v>81</v>
      </c>
      <c r="B24" s="49">
        <v>1.2489999999999999E-3</v>
      </c>
      <c r="H24" s="24">
        <f t="shared" si="28"/>
        <v>0.2944045578275159</v>
      </c>
      <c r="I24" s="34">
        <f t="shared" si="0"/>
        <v>7.9460522868677277E-10</v>
      </c>
      <c r="J24" s="35">
        <f t="shared" si="13"/>
        <v>2.0768467392537886E-2</v>
      </c>
      <c r="K24" s="30">
        <f t="shared" si="1"/>
        <v>1560.3244466416766</v>
      </c>
      <c r="L24" s="31">
        <f t="shared" si="14"/>
        <v>85552059974130.609</v>
      </c>
      <c r="M24" s="31">
        <f t="shared" si="15"/>
        <v>4.6792013618866946E+19</v>
      </c>
      <c r="N24" s="30">
        <f t="shared" si="16"/>
        <v>4680.9733399250299</v>
      </c>
      <c r="O24" s="31">
        <f t="shared" si="2"/>
        <v>246288665007.89658</v>
      </c>
      <c r="P24" s="31">
        <f t="shared" si="3"/>
        <v>4.3687571767119507E+17</v>
      </c>
      <c r="Q24" s="30">
        <f t="shared" si="17"/>
        <v>7801.6222332083826</v>
      </c>
      <c r="R24" s="31">
        <f t="shared" si="4"/>
        <v>765122353.45450115</v>
      </c>
      <c r="S24" s="31">
        <f t="shared" si="5"/>
        <v>2129627052765815.5</v>
      </c>
      <c r="T24" s="30">
        <f t="shared" si="18"/>
        <v>10922.271126491738</v>
      </c>
      <c r="U24" s="31">
        <f t="shared" si="19"/>
        <v>2409575.9369407119</v>
      </c>
      <c r="V24" s="31">
        <f t="shared" si="6"/>
        <v>8748163498203.5313</v>
      </c>
      <c r="W24" s="30">
        <f t="shared" si="20"/>
        <v>14042.920019775092</v>
      </c>
      <c r="X24" s="31">
        <f t="shared" si="21"/>
        <v>7624.9287865608148</v>
      </c>
      <c r="Y24" s="31">
        <f t="shared" si="7"/>
        <v>33278850291.001038</v>
      </c>
      <c r="Z24" s="30">
        <f t="shared" si="22"/>
        <v>17163.568913058443</v>
      </c>
      <c r="AA24" s="31">
        <f t="shared" si="23"/>
        <v>24.182610890257806</v>
      </c>
      <c r="AB24" s="31">
        <f t="shared" si="8"/>
        <v>121291370.83943129</v>
      </c>
      <c r="AC24" s="30">
        <f t="shared" si="24"/>
        <v>20284.217806341796</v>
      </c>
      <c r="AD24" s="31">
        <f t="shared" si="25"/>
        <v>7.678950611768029E-2</v>
      </c>
      <c r="AE24" s="31">
        <f t="shared" si="9"/>
        <v>430304.91190251807</v>
      </c>
      <c r="AF24" s="30">
        <f t="shared" si="26"/>
        <v>23404.866699625152</v>
      </c>
      <c r="AG24" s="31">
        <f t="shared" si="27"/>
        <v>2.4401833188510217E-4</v>
      </c>
      <c r="AH24" s="31">
        <f t="shared" si="10"/>
        <v>1498.7265241120272</v>
      </c>
    </row>
    <row r="25" spans="1:34" x14ac:dyDescent="0.2">
      <c r="A25" s="11"/>
      <c r="B25" s="13"/>
      <c r="H25" s="24"/>
      <c r="I25" s="24"/>
      <c r="J25" s="30"/>
      <c r="K25" s="30"/>
      <c r="L25" s="31"/>
      <c r="M25" s="31"/>
      <c r="N25" s="30"/>
      <c r="O25" s="31"/>
      <c r="P25" s="31"/>
      <c r="Q25" s="30"/>
      <c r="R25" s="31"/>
      <c r="S25" s="31"/>
      <c r="T25" s="30"/>
      <c r="U25" s="31"/>
      <c r="V25" s="31"/>
      <c r="W25" s="30"/>
      <c r="X25" s="31"/>
      <c r="Y25" s="31"/>
    </row>
    <row r="26" spans="1:34" x14ac:dyDescent="0.2">
      <c r="A26" s="11"/>
      <c r="B26" s="13"/>
    </row>
    <row r="27" spans="1:34" ht="15" x14ac:dyDescent="0.25">
      <c r="A27" s="44" t="s">
        <v>19</v>
      </c>
      <c r="B27" s="50">
        <f>'Create Undulator Magnet'!B16</f>
        <v>1.2011420963818451</v>
      </c>
    </row>
    <row r="28" spans="1:34" ht="15" x14ac:dyDescent="0.25">
      <c r="A28" s="44" t="s">
        <v>18</v>
      </c>
      <c r="B28" s="50">
        <f>'Create Undulator Magnet'!B10</f>
        <v>52.5</v>
      </c>
    </row>
    <row r="29" spans="1:34" ht="15" x14ac:dyDescent="0.25">
      <c r="A29" s="44" t="s">
        <v>20</v>
      </c>
      <c r="B29" s="50">
        <f>'Create Undulator Magnet'!B12</f>
        <v>14</v>
      </c>
    </row>
    <row r="30" spans="1:34" ht="15" x14ac:dyDescent="0.25">
      <c r="A30" s="44" t="s">
        <v>92</v>
      </c>
      <c r="B30" s="48">
        <f>B31*B28</f>
        <v>1102.5</v>
      </c>
    </row>
    <row r="31" spans="1:34" ht="15" x14ac:dyDescent="0.25">
      <c r="A31" s="44" t="s">
        <v>60</v>
      </c>
      <c r="B31" s="51">
        <f>'Create Undulator Magnet'!B11</f>
        <v>21</v>
      </c>
    </row>
    <row r="32" spans="1:34" ht="15" x14ac:dyDescent="0.25">
      <c r="A32" s="44" t="s">
        <v>61</v>
      </c>
      <c r="B32" s="48">
        <f>'Create Undulator Magnet'!B17</f>
        <v>5.8880911565503293</v>
      </c>
      <c r="C32" s="25"/>
    </row>
    <row r="33" spans="1:12" x14ac:dyDescent="0.2">
      <c r="A33" s="11"/>
      <c r="B33" s="13"/>
      <c r="L33" s="4"/>
    </row>
    <row r="34" spans="1:12" ht="15" x14ac:dyDescent="0.25">
      <c r="A34" s="44" t="s">
        <v>116</v>
      </c>
      <c r="B34" s="50">
        <f>632.8*B9^2*B27^2*B10*B31*(B28/1000)</f>
        <v>3170.6214857400309</v>
      </c>
    </row>
    <row r="35" spans="1:12" ht="15.75" thickBot="1" x14ac:dyDescent="0.3">
      <c r="A35" s="52" t="s">
        <v>82</v>
      </c>
      <c r="B35" s="53">
        <f>((B28/1000)/(2*B20^2)*(1+B32^2/2))*1000000000</f>
        <v>13.963785988660062</v>
      </c>
    </row>
    <row r="36" spans="1:12" x14ac:dyDescent="0.2">
      <c r="A36" s="12"/>
      <c r="B36" s="12"/>
      <c r="G36" s="36"/>
    </row>
    <row r="37" spans="1:12" x14ac:dyDescent="0.2">
      <c r="A37" s="12"/>
      <c r="B37" s="12"/>
    </row>
  </sheetData>
  <mergeCells count="9">
    <mergeCell ref="AF3:AH3"/>
    <mergeCell ref="N3:P3"/>
    <mergeCell ref="Q3:S3"/>
    <mergeCell ref="T3:V3"/>
    <mergeCell ref="A1:B1"/>
    <mergeCell ref="I3:M3"/>
    <mergeCell ref="W3:Y3"/>
    <mergeCell ref="Z3:AB3"/>
    <mergeCell ref="AC3:AE3"/>
  </mergeCells>
  <pageMargins left="0.75" right="0.75" top="1" bottom="1" header="0.5" footer="0.5"/>
  <pageSetup orientation="portrait" horizontalDpi="200" verticalDpi="2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42"/>
  <sheetViews>
    <sheetView tabSelected="1" workbookViewId="0">
      <selection activeCell="B29" sqref="B29"/>
    </sheetView>
  </sheetViews>
  <sheetFormatPr defaultRowHeight="12.75" x14ac:dyDescent="0.2"/>
  <cols>
    <col min="1" max="1" width="43" bestFit="1" customWidth="1"/>
    <col min="2" max="2" width="31.7109375" customWidth="1"/>
    <col min="3" max="3" width="4.5703125" customWidth="1"/>
    <col min="4" max="4" width="26.85546875" customWidth="1"/>
    <col min="5" max="5" width="3.85546875" customWidth="1"/>
    <col min="6" max="7" width="9.5703125" customWidth="1"/>
    <col min="8" max="8" width="12" customWidth="1"/>
    <col min="9" max="9" width="12.42578125" customWidth="1"/>
    <col min="10" max="10" width="11.85546875" customWidth="1"/>
    <col min="11" max="11" width="8" customWidth="1"/>
    <col min="16" max="16" width="11.5703125" customWidth="1"/>
    <col min="17" max="17" width="13.7109375" customWidth="1"/>
  </cols>
  <sheetData>
    <row r="1" spans="1:26" ht="21" customHeight="1" thickBot="1" x14ac:dyDescent="0.35">
      <c r="A1" s="98" t="s">
        <v>10</v>
      </c>
      <c r="B1" s="99"/>
      <c r="F1" s="94" t="s">
        <v>53</v>
      </c>
      <c r="G1" s="95"/>
      <c r="H1" s="95"/>
      <c r="I1" s="95"/>
      <c r="J1" s="96"/>
      <c r="L1" s="102" t="s">
        <v>89</v>
      </c>
      <c r="M1" s="103"/>
      <c r="N1" s="103"/>
      <c r="O1" s="103"/>
      <c r="P1" s="103"/>
      <c r="Q1" s="104"/>
      <c r="R1" s="32"/>
      <c r="X1" s="32"/>
      <c r="Y1" s="32"/>
      <c r="Z1" s="32"/>
    </row>
    <row r="2" spans="1:26" ht="15.75" customHeight="1" thickBot="1" x14ac:dyDescent="0.25">
      <c r="A2" s="84"/>
      <c r="B2" s="85"/>
      <c r="F2" s="77"/>
      <c r="G2" s="100" t="s">
        <v>113</v>
      </c>
      <c r="H2" s="100"/>
      <c r="I2" s="100" t="str">
        <f>CONCATENATE(G2, " Scaled")</f>
        <v>Delta 52.5 Scaled</v>
      </c>
      <c r="J2" s="101"/>
      <c r="L2" s="81" t="s">
        <v>37</v>
      </c>
      <c r="M2" s="82" t="s">
        <v>38</v>
      </c>
      <c r="N2" s="82" t="s">
        <v>48</v>
      </c>
      <c r="O2" s="82" t="s">
        <v>37</v>
      </c>
      <c r="P2" s="82" t="s">
        <v>99</v>
      </c>
      <c r="Q2" s="83" t="s">
        <v>50</v>
      </c>
    </row>
    <row r="3" spans="1:26" ht="15" thickBot="1" x14ac:dyDescent="0.25">
      <c r="A3" s="61" t="s">
        <v>90</v>
      </c>
      <c r="B3" s="13"/>
      <c r="F3" s="86" t="s">
        <v>103</v>
      </c>
      <c r="G3" s="78" t="s">
        <v>37</v>
      </c>
      <c r="H3" s="78" t="s">
        <v>38</v>
      </c>
      <c r="I3" s="79" t="s">
        <v>37</v>
      </c>
      <c r="J3" s="80" t="s">
        <v>38</v>
      </c>
      <c r="K3" s="1"/>
      <c r="L3" s="11">
        <f>B7/2*-1</f>
        <v>-3.4899999999999998</v>
      </c>
      <c r="M3" s="12">
        <f>B6/2*-1</f>
        <v>-2.04</v>
      </c>
      <c r="N3" s="12">
        <f>B7/2</f>
        <v>3.4899999999999998</v>
      </c>
      <c r="O3" s="12">
        <f>N3*-1</f>
        <v>-3.4899999999999998</v>
      </c>
      <c r="P3" s="12">
        <f>SQRT((1-(O3)^2/$N$3^2)*$N$5^2)</f>
        <v>0</v>
      </c>
      <c r="Q3" s="13">
        <f t="shared" ref="Q3:Q24" si="0">-SQRT((1-(O3)^2/$N$3^2)*$N$5^2)</f>
        <v>0</v>
      </c>
    </row>
    <row r="4" spans="1:26" ht="15" x14ac:dyDescent="0.25">
      <c r="A4" s="44" t="s">
        <v>32</v>
      </c>
      <c r="B4" s="62" t="s">
        <v>29</v>
      </c>
      <c r="F4" s="11">
        <v>1</v>
      </c>
      <c r="G4">
        <v>5.5</v>
      </c>
      <c r="H4">
        <v>0</v>
      </c>
      <c r="I4" s="12">
        <f t="shared" ref="I4:I18" si="1">G4*$F$4</f>
        <v>5.5</v>
      </c>
      <c r="J4" s="13">
        <f t="shared" ref="J4:J18" si="2">H4*$F$4</f>
        <v>0</v>
      </c>
      <c r="K4" s="3"/>
      <c r="L4" s="11">
        <f>B7/2</f>
        <v>3.4899999999999998</v>
      </c>
      <c r="M4" s="12">
        <f>B6/2*-1</f>
        <v>-2.04</v>
      </c>
      <c r="N4" s="14" t="s">
        <v>49</v>
      </c>
      <c r="O4" s="12">
        <f t="shared" ref="O4:O24" si="3">O3+$N$3*2/21</f>
        <v>-3.1576190476190473</v>
      </c>
      <c r="P4" s="12">
        <f t="shared" ref="P4:P24" si="4">SQRT((1-(O4)^2/$N$3^2)*$N$5^2)</f>
        <v>0.86887212839991812</v>
      </c>
      <c r="Q4" s="13">
        <f t="shared" si="0"/>
        <v>-0.86887212839991812</v>
      </c>
    </row>
    <row r="5" spans="1:26" ht="14.25" x14ac:dyDescent="0.2">
      <c r="A5" s="63" t="s">
        <v>31</v>
      </c>
      <c r="B5" s="13"/>
      <c r="F5" s="11"/>
      <c r="G5">
        <v>22.5</v>
      </c>
      <c r="H5">
        <v>19</v>
      </c>
      <c r="I5" s="12">
        <f t="shared" si="1"/>
        <v>22.5</v>
      </c>
      <c r="J5" s="13">
        <f t="shared" si="2"/>
        <v>19</v>
      </c>
      <c r="K5" s="3"/>
      <c r="L5" s="11">
        <f>B7/2</f>
        <v>3.4899999999999998</v>
      </c>
      <c r="M5" s="12">
        <f>B6/2</f>
        <v>2.04</v>
      </c>
      <c r="N5" s="12">
        <f>B6/2</f>
        <v>2.04</v>
      </c>
      <c r="O5" s="12">
        <f t="shared" si="3"/>
        <v>-2.8252380952380949</v>
      </c>
      <c r="P5" s="12">
        <f t="shared" si="4"/>
        <v>1.1976575777196869</v>
      </c>
      <c r="Q5" s="13">
        <f t="shared" si="0"/>
        <v>-1.1976575777196869</v>
      </c>
    </row>
    <row r="6" spans="1:26" ht="15" x14ac:dyDescent="0.25">
      <c r="A6" s="64" t="s">
        <v>35</v>
      </c>
      <c r="B6" s="65">
        <f>IF(B4=D8,ROUNDUP((-0.045*(B21/2/1000)^3+0.3642*(B21/2/1000)^2+0.0265*(B21/2/1000)+1.9042)*2,2),ROUNDUP((-0.008*(B21/2/1000)^3 + 0.1233*(B21/2/1000)^2 - 0.0051*(B21/2/1000) + 2.8442)*2,2))</f>
        <v>4.08</v>
      </c>
      <c r="F6" s="11"/>
      <c r="G6">
        <v>22.5</v>
      </c>
      <c r="H6">
        <v>24</v>
      </c>
      <c r="I6" s="12">
        <f t="shared" si="1"/>
        <v>22.5</v>
      </c>
      <c r="J6" s="13">
        <f t="shared" si="2"/>
        <v>24</v>
      </c>
      <c r="K6" s="3"/>
      <c r="L6" s="11">
        <f>B7/2*-1</f>
        <v>-3.4899999999999998</v>
      </c>
      <c r="M6" s="12">
        <f>B6/2</f>
        <v>2.04</v>
      </c>
      <c r="N6" s="12"/>
      <c r="O6" s="12">
        <f t="shared" si="3"/>
        <v>-2.4928571428571424</v>
      </c>
      <c r="P6" s="12">
        <f t="shared" si="4"/>
        <v>1.4277025929364811</v>
      </c>
      <c r="Q6" s="13">
        <f t="shared" si="0"/>
        <v>-1.4277025929364811</v>
      </c>
    </row>
    <row r="7" spans="1:26" ht="15" x14ac:dyDescent="0.25">
      <c r="A7" s="64" t="s">
        <v>36</v>
      </c>
      <c r="B7" s="65">
        <f>IF(B4=D8,ROUNDUP((-0.1034*(B21/2/1000)^3+0.7783*(B21/2/1000)^2+0.109*(B21/2/1000)+3.1763)*2,2),ROUNDUP((-0.00008*(B21/2/1000)^3 + 0.0184*(B21/2/1000)^2 - 0.00008*(B21/2/1000) + 11.542)*2,2))</f>
        <v>6.9799999999999995</v>
      </c>
      <c r="D7" s="1" t="s">
        <v>28</v>
      </c>
      <c r="E7" s="1"/>
      <c r="F7" s="11"/>
      <c r="G7">
        <v>16.5</v>
      </c>
      <c r="H7">
        <v>30</v>
      </c>
      <c r="I7" s="12">
        <f t="shared" si="1"/>
        <v>16.5</v>
      </c>
      <c r="J7" s="13">
        <f t="shared" si="2"/>
        <v>30</v>
      </c>
      <c r="K7" s="1"/>
      <c r="L7" s="11">
        <f>B7/2*-1</f>
        <v>-3.4899999999999998</v>
      </c>
      <c r="M7" s="12">
        <f>B6/2*-1</f>
        <v>-2.04</v>
      </c>
      <c r="N7" s="12"/>
      <c r="O7" s="12">
        <f t="shared" si="3"/>
        <v>-2.16047619047619</v>
      </c>
      <c r="P7" s="12">
        <f t="shared" si="4"/>
        <v>1.6021210430971482</v>
      </c>
      <c r="Q7" s="13">
        <f t="shared" si="0"/>
        <v>-1.6021210430971482</v>
      </c>
    </row>
    <row r="8" spans="1:26" x14ac:dyDescent="0.2">
      <c r="A8" s="11"/>
      <c r="B8" s="13"/>
      <c r="D8" s="3" t="s">
        <v>29</v>
      </c>
      <c r="E8" s="3"/>
      <c r="F8" s="11"/>
      <c r="G8">
        <v>22.5</v>
      </c>
      <c r="H8">
        <v>36</v>
      </c>
      <c r="I8" s="12">
        <f t="shared" si="1"/>
        <v>22.5</v>
      </c>
      <c r="J8" s="13">
        <f t="shared" si="2"/>
        <v>36</v>
      </c>
      <c r="K8" s="3"/>
      <c r="L8" s="11"/>
      <c r="M8" s="12"/>
      <c r="N8" s="12"/>
      <c r="O8" s="12">
        <f t="shared" si="3"/>
        <v>-1.8280952380952376</v>
      </c>
      <c r="P8" s="12">
        <f t="shared" si="4"/>
        <v>1.7377442567998367</v>
      </c>
      <c r="Q8" s="13">
        <f t="shared" si="0"/>
        <v>-1.7377442567998367</v>
      </c>
    </row>
    <row r="9" spans="1:26" ht="14.25" x14ac:dyDescent="0.2">
      <c r="A9" s="61" t="s">
        <v>91</v>
      </c>
      <c r="B9" s="13"/>
      <c r="D9" s="3" t="s">
        <v>30</v>
      </c>
      <c r="E9" s="3"/>
      <c r="F9" s="11"/>
      <c r="G9">
        <v>22.5</v>
      </c>
      <c r="H9">
        <v>49</v>
      </c>
      <c r="I9" s="12">
        <f t="shared" si="1"/>
        <v>22.5</v>
      </c>
      <c r="J9" s="13">
        <f t="shared" si="2"/>
        <v>49</v>
      </c>
      <c r="K9" s="3"/>
      <c r="L9" s="56" t="s">
        <v>4</v>
      </c>
      <c r="M9" s="55" t="s">
        <v>39</v>
      </c>
      <c r="N9" s="12"/>
      <c r="O9" s="12">
        <f t="shared" si="3"/>
        <v>-1.4957142857142851</v>
      </c>
      <c r="P9" s="12">
        <f t="shared" si="4"/>
        <v>1.8431561219267127</v>
      </c>
      <c r="Q9" s="13">
        <f t="shared" si="0"/>
        <v>-1.8431561219267127</v>
      </c>
    </row>
    <row r="10" spans="1:26" ht="15" x14ac:dyDescent="0.25">
      <c r="A10" s="44" t="s">
        <v>2</v>
      </c>
      <c r="B10" s="46">
        <v>52.5</v>
      </c>
      <c r="D10" s="3"/>
      <c r="E10" s="3"/>
      <c r="F10" s="11"/>
      <c r="G10">
        <v>21.5</v>
      </c>
      <c r="H10">
        <v>50</v>
      </c>
      <c r="I10" s="12">
        <f t="shared" si="1"/>
        <v>21.5</v>
      </c>
      <c r="J10" s="13">
        <f t="shared" si="2"/>
        <v>50</v>
      </c>
      <c r="K10" s="3"/>
      <c r="L10" s="11">
        <f>B12</f>
        <v>14</v>
      </c>
      <c r="M10" s="12">
        <f>5.5/7*B12</f>
        <v>11</v>
      </c>
      <c r="N10" s="12"/>
      <c r="O10" s="12">
        <f t="shared" si="3"/>
        <v>-1.1633333333333327</v>
      </c>
      <c r="P10" s="12">
        <f t="shared" si="4"/>
        <v>1.9233304448274093</v>
      </c>
      <c r="Q10" s="13">
        <f t="shared" si="0"/>
        <v>-1.9233304448274093</v>
      </c>
    </row>
    <row r="11" spans="1:26" ht="15" x14ac:dyDescent="0.25">
      <c r="A11" s="44" t="s">
        <v>3</v>
      </c>
      <c r="B11" s="46">
        <v>21</v>
      </c>
      <c r="D11" s="1" t="s">
        <v>0</v>
      </c>
      <c r="E11" s="1"/>
      <c r="F11" s="11"/>
      <c r="G11">
        <f>-1*G10</f>
        <v>-21.5</v>
      </c>
      <c r="H11">
        <f>H10</f>
        <v>50</v>
      </c>
      <c r="I11" s="12">
        <f t="shared" si="1"/>
        <v>-21.5</v>
      </c>
      <c r="J11" s="13">
        <f t="shared" si="2"/>
        <v>50</v>
      </c>
      <c r="K11" s="3"/>
      <c r="L11" s="56" t="s">
        <v>40</v>
      </c>
      <c r="M11" s="55" t="s">
        <v>41</v>
      </c>
      <c r="N11" s="12"/>
      <c r="O11" s="12">
        <f t="shared" si="3"/>
        <v>-0.83095238095238033</v>
      </c>
      <c r="P11" s="12">
        <f t="shared" si="4"/>
        <v>1.9813332967103394</v>
      </c>
      <c r="Q11" s="13">
        <f t="shared" si="0"/>
        <v>-1.9813332967103394</v>
      </c>
    </row>
    <row r="12" spans="1:26" ht="15" x14ac:dyDescent="0.25">
      <c r="A12" s="44" t="s">
        <v>4</v>
      </c>
      <c r="B12" s="46">
        <v>14</v>
      </c>
      <c r="D12" s="3" t="s">
        <v>107</v>
      </c>
      <c r="E12" s="3"/>
      <c r="F12" s="11"/>
      <c r="G12">
        <f>-1*G9</f>
        <v>-22.5</v>
      </c>
      <c r="H12">
        <f>H9</f>
        <v>49</v>
      </c>
      <c r="I12" s="12">
        <f t="shared" si="1"/>
        <v>-22.5</v>
      </c>
      <c r="J12" s="13">
        <f t="shared" si="2"/>
        <v>49</v>
      </c>
      <c r="K12" s="3"/>
      <c r="L12" s="57">
        <f>(L10/2)*COS(RADIANS(-45))+(-M10/2)*SIN(RADIANS(-45))</f>
        <v>8.8388347648318444</v>
      </c>
      <c r="M12" s="58">
        <f>-(L10/2)*SIN(RADIANS(-45))+(-M10)/2*COS(RADIANS(-45))</f>
        <v>1.0606601717798201</v>
      </c>
      <c r="N12" s="12"/>
      <c r="O12" s="12">
        <f t="shared" si="3"/>
        <v>-0.498571428571428</v>
      </c>
      <c r="P12" s="12">
        <f t="shared" si="4"/>
        <v>2.0190763699660055</v>
      </c>
      <c r="Q12" s="13">
        <f t="shared" si="0"/>
        <v>-2.0190763699660055</v>
      </c>
    </row>
    <row r="13" spans="1:26" ht="15" x14ac:dyDescent="0.25">
      <c r="A13" s="44" t="s">
        <v>5</v>
      </c>
      <c r="B13" s="46">
        <v>0.125</v>
      </c>
      <c r="C13" s="4"/>
      <c r="D13" s="3" t="s">
        <v>108</v>
      </c>
      <c r="E13" s="3"/>
      <c r="F13" s="11"/>
      <c r="G13">
        <f>-1*G8</f>
        <v>-22.5</v>
      </c>
      <c r="H13">
        <f>H8</f>
        <v>36</v>
      </c>
      <c r="I13" s="12">
        <f t="shared" si="1"/>
        <v>-22.5</v>
      </c>
      <c r="J13" s="13">
        <f t="shared" si="2"/>
        <v>36</v>
      </c>
      <c r="L13" s="57">
        <f>(L10/2)*COS(RADIANS(-45))+(M10/2)*SIN(RADIANS(-45))</f>
        <v>1.0606601717798219</v>
      </c>
      <c r="M13" s="58">
        <f>-(L10/2)*SIN(RADIANS(-45))+(M10/2)*COS(RADIANS(-45))</f>
        <v>8.8388347648318444</v>
      </c>
      <c r="N13" s="12"/>
      <c r="O13" s="12">
        <f t="shared" si="3"/>
        <v>-0.16619047619047567</v>
      </c>
      <c r="P13" s="12">
        <f t="shared" si="4"/>
        <v>2.0376857621591515</v>
      </c>
      <c r="Q13" s="13">
        <f t="shared" si="0"/>
        <v>-2.0376857621591515</v>
      </c>
    </row>
    <row r="14" spans="1:26" ht="15" x14ac:dyDescent="0.25">
      <c r="A14" s="44" t="s">
        <v>85</v>
      </c>
      <c r="B14" s="66">
        <f>(1.96*EXP((-0.82*(B12/B10)+-3.31*(B12/B10)^2)))</f>
        <v>1.2447068356288551</v>
      </c>
      <c r="D14" s="3" t="s">
        <v>109</v>
      </c>
      <c r="E14" s="3"/>
      <c r="F14" s="11"/>
      <c r="G14">
        <f>-1*G7</f>
        <v>-16.5</v>
      </c>
      <c r="H14">
        <f>H7</f>
        <v>30</v>
      </c>
      <c r="I14" s="12">
        <f t="shared" si="1"/>
        <v>-16.5</v>
      </c>
      <c r="J14" s="13">
        <f t="shared" si="2"/>
        <v>30</v>
      </c>
      <c r="K14" s="1"/>
      <c r="L14" s="59" t="s">
        <v>42</v>
      </c>
      <c r="M14" s="60" t="s">
        <v>43</v>
      </c>
      <c r="N14" s="12"/>
      <c r="O14" s="12">
        <f t="shared" si="3"/>
        <v>0.16619047619047667</v>
      </c>
      <c r="P14" s="12">
        <f t="shared" si="4"/>
        <v>2.0376857621591515</v>
      </c>
      <c r="Q14" s="13">
        <f t="shared" si="0"/>
        <v>-2.0376857621591515</v>
      </c>
    </row>
    <row r="15" spans="1:26" ht="15" x14ac:dyDescent="0.25">
      <c r="A15" s="44" t="s">
        <v>86</v>
      </c>
      <c r="B15" s="67">
        <v>0.96499999999999997</v>
      </c>
      <c r="D15" s="3" t="s">
        <v>110</v>
      </c>
      <c r="E15" s="3"/>
      <c r="F15" s="11"/>
      <c r="G15">
        <f>-1*G6</f>
        <v>-22.5</v>
      </c>
      <c r="H15">
        <f>H6</f>
        <v>24</v>
      </c>
      <c r="I15" s="12">
        <f t="shared" si="1"/>
        <v>-22.5</v>
      </c>
      <c r="J15" s="13">
        <f t="shared" si="2"/>
        <v>24</v>
      </c>
      <c r="K15" s="3"/>
      <c r="L15" s="57">
        <f>(-L10/2)*COS(RADIANS(45))+(-M10/2)*SIN(RADIANS(45))</f>
        <v>-8.8388347648318444</v>
      </c>
      <c r="M15" s="58">
        <f>-(L10/2)*SIN(RADIANS(-45))+(-M10)/2*COS(RADIANS(-45))</f>
        <v>1.0606601717798201</v>
      </c>
      <c r="N15" s="12"/>
      <c r="O15" s="12">
        <f t="shared" si="3"/>
        <v>0.498571428571429</v>
      </c>
      <c r="P15" s="12">
        <f t="shared" si="4"/>
        <v>2.0190763699660055</v>
      </c>
      <c r="Q15" s="13">
        <f t="shared" si="0"/>
        <v>-2.0190763699660055</v>
      </c>
    </row>
    <row r="16" spans="1:26" ht="15" x14ac:dyDescent="0.25">
      <c r="A16" s="44" t="s">
        <v>87</v>
      </c>
      <c r="B16" s="66">
        <f>B14*B15</f>
        <v>1.2011420963818451</v>
      </c>
      <c r="C16" s="4"/>
      <c r="D16" s="3" t="s">
        <v>106</v>
      </c>
      <c r="E16" s="3"/>
      <c r="F16" s="11"/>
      <c r="G16">
        <f>-1*G5</f>
        <v>-22.5</v>
      </c>
      <c r="H16">
        <f>H5</f>
        <v>19</v>
      </c>
      <c r="I16" s="12">
        <f t="shared" si="1"/>
        <v>-22.5</v>
      </c>
      <c r="J16" s="13">
        <f t="shared" si="2"/>
        <v>19</v>
      </c>
      <c r="L16" s="57">
        <f>(-L10/2)*COS(RADIANS(45))+(M10/2)*SIN(RADIANS(45))</f>
        <v>-1.0606601717798219</v>
      </c>
      <c r="M16" s="58">
        <f>-(L10/2)*SIN(RADIANS(-45))+(M10/2)*COS(RADIANS(-45))</f>
        <v>8.8388347648318444</v>
      </c>
      <c r="N16" s="12"/>
      <c r="O16" s="12">
        <f t="shared" si="3"/>
        <v>0.83095238095238133</v>
      </c>
      <c r="P16" s="12">
        <f t="shared" si="4"/>
        <v>1.981333296710339</v>
      </c>
      <c r="Q16" s="13">
        <f t="shared" si="0"/>
        <v>-1.981333296710339</v>
      </c>
    </row>
    <row r="17" spans="1:17" ht="15" x14ac:dyDescent="0.2">
      <c r="A17" s="68" t="s">
        <v>61</v>
      </c>
      <c r="B17" s="69">
        <f>((B16*ABS('Electron beam and constants'!B4))/('Electron beam and constants'!B5*'Electron beam and constants'!B6))*((B10/1000)/(2*PI()))</f>
        <v>5.8880911565503293</v>
      </c>
      <c r="F17" s="11"/>
      <c r="G17">
        <f>-1*G4</f>
        <v>-5.5</v>
      </c>
      <c r="H17">
        <f>H4</f>
        <v>0</v>
      </c>
      <c r="I17" s="12">
        <f t="shared" si="1"/>
        <v>-5.5</v>
      </c>
      <c r="J17" s="13">
        <f t="shared" si="2"/>
        <v>0</v>
      </c>
      <c r="L17" s="59" t="s">
        <v>44</v>
      </c>
      <c r="M17" s="60" t="s">
        <v>45</v>
      </c>
      <c r="N17" s="12"/>
      <c r="O17" s="12">
        <f t="shared" si="3"/>
        <v>1.1633333333333336</v>
      </c>
      <c r="P17" s="12">
        <f t="shared" si="4"/>
        <v>1.9233304448274091</v>
      </c>
      <c r="Q17" s="13">
        <f t="shared" si="0"/>
        <v>-1.9233304448274091</v>
      </c>
    </row>
    <row r="18" spans="1:17" ht="15" x14ac:dyDescent="0.25">
      <c r="A18" s="44" t="s">
        <v>88</v>
      </c>
      <c r="B18" s="48">
        <f>'Electron beam and constants'!E5</f>
        <v>88.789814220594806</v>
      </c>
      <c r="D18" s="1" t="s">
        <v>1</v>
      </c>
      <c r="E18" s="1"/>
      <c r="F18" s="11"/>
      <c r="G18">
        <f>G4</f>
        <v>5.5</v>
      </c>
      <c r="H18">
        <f>H4</f>
        <v>0</v>
      </c>
      <c r="I18" s="12">
        <f t="shared" si="1"/>
        <v>5.5</v>
      </c>
      <c r="J18" s="13">
        <f t="shared" si="2"/>
        <v>0</v>
      </c>
      <c r="L18" s="57">
        <f>(L10/2)*COS(RADIANS(45))+(-M10/2)*SIN(RADIANS(45))</f>
        <v>1.0606601717798219</v>
      </c>
      <c r="M18" s="58">
        <f>-(L10/2)*SIN(RADIANS(45))+(-M10)/2*COS(RADIANS(45))</f>
        <v>-8.8388347648318444</v>
      </c>
      <c r="N18" s="12"/>
      <c r="O18" s="12">
        <f t="shared" si="3"/>
        <v>1.495714285714286</v>
      </c>
      <c r="P18" s="12">
        <f t="shared" si="4"/>
        <v>1.8431561219267125</v>
      </c>
      <c r="Q18" s="13">
        <f t="shared" si="0"/>
        <v>-1.8431561219267125</v>
      </c>
    </row>
    <row r="19" spans="1:17" ht="15" x14ac:dyDescent="0.25">
      <c r="A19" s="44" t="s">
        <v>116</v>
      </c>
      <c r="B19" s="50">
        <f>'Electron beam and constants'!B34</f>
        <v>3170.6214857400309</v>
      </c>
      <c r="D19" s="3" t="s">
        <v>104</v>
      </c>
      <c r="E19" s="3"/>
      <c r="F19" s="11"/>
      <c r="G19" s="12"/>
      <c r="H19" s="12"/>
      <c r="I19" s="12"/>
      <c r="J19" s="13"/>
      <c r="L19" s="57">
        <f>(L10/2)*COS(RADIANS(45))+(M10/2)*SIN(RADIANS(45))</f>
        <v>8.8388347648318444</v>
      </c>
      <c r="M19" s="58">
        <f>-(L10/2)*SIN(RADIANS(45))+(M10/2)*COS(RADIANS(45))</f>
        <v>-1.0606601717798201</v>
      </c>
      <c r="N19" s="12"/>
      <c r="O19" s="12">
        <f t="shared" si="3"/>
        <v>1.8280952380952384</v>
      </c>
      <c r="P19" s="12">
        <f t="shared" si="4"/>
        <v>1.7377442567998365</v>
      </c>
      <c r="Q19" s="13">
        <f t="shared" si="0"/>
        <v>-1.7377442567998365</v>
      </c>
    </row>
    <row r="20" spans="1:17" ht="15" x14ac:dyDescent="0.25">
      <c r="A20" s="54" t="s">
        <v>82</v>
      </c>
      <c r="B20" s="50">
        <f>'Electron beam and constants'!B35</f>
        <v>13.963785988660062</v>
      </c>
      <c r="C20" s="2"/>
      <c r="D20" s="3" t="s">
        <v>105</v>
      </c>
      <c r="E20" s="3"/>
      <c r="F20" s="71"/>
      <c r="G20" s="72"/>
      <c r="H20" s="72"/>
      <c r="I20" s="72"/>
      <c r="J20" s="73"/>
      <c r="K20" s="3"/>
      <c r="L20" s="59" t="s">
        <v>46</v>
      </c>
      <c r="M20" s="60" t="s">
        <v>47</v>
      </c>
      <c r="N20" s="12"/>
      <c r="O20" s="12">
        <f t="shared" si="3"/>
        <v>2.1604761904761909</v>
      </c>
      <c r="P20" s="12">
        <f t="shared" si="4"/>
        <v>1.6021210430971478</v>
      </c>
      <c r="Q20" s="13">
        <f t="shared" si="0"/>
        <v>-1.6021210430971478</v>
      </c>
    </row>
    <row r="21" spans="1:17" ht="15" x14ac:dyDescent="0.25">
      <c r="A21" s="44" t="s">
        <v>34</v>
      </c>
      <c r="B21" s="65">
        <f>IF(B34="Yes",(11/8)*B10+B11*B10 + B13,B11*B10 - B13)</f>
        <v>1174.8125</v>
      </c>
      <c r="C21" s="2"/>
      <c r="D21" s="3" t="s">
        <v>14</v>
      </c>
      <c r="F21" s="11"/>
      <c r="G21" s="12"/>
      <c r="H21" s="12"/>
      <c r="I21" s="12"/>
      <c r="J21" s="13"/>
      <c r="L21" s="57">
        <f>(-L10/2)*COS(RADIANS(45))+(-M10/2)*SIN(RADIANS(45))</f>
        <v>-8.8388347648318444</v>
      </c>
      <c r="M21" s="58">
        <f>-(L10/2)*SIN(RADIANS(45))+(M10/2)*COS(RADIANS(45))</f>
        <v>-1.0606601717798201</v>
      </c>
      <c r="N21" s="12"/>
      <c r="O21" s="12">
        <f t="shared" si="3"/>
        <v>2.4928571428571433</v>
      </c>
      <c r="P21" s="12">
        <f t="shared" si="4"/>
        <v>1.4277025929364804</v>
      </c>
      <c r="Q21" s="13">
        <f t="shared" si="0"/>
        <v>-1.4277025929364804</v>
      </c>
    </row>
    <row r="22" spans="1:17" ht="15" x14ac:dyDescent="0.25">
      <c r="A22" s="11"/>
      <c r="B22" s="13"/>
      <c r="C22" s="2"/>
      <c r="F22" s="11"/>
      <c r="G22" s="12"/>
      <c r="H22" s="12"/>
      <c r="I22" s="12"/>
      <c r="J22" s="13"/>
      <c r="L22" s="57">
        <f>(-L10/2)*COS(RADIANS(45))+(M10/2)*SIN(RADIANS(45))</f>
        <v>-1.0606601717798219</v>
      </c>
      <c r="M22" s="58">
        <f>-(L10/2)*SIN(RADIANS(45))+(-M10/2)*COS(RADIANS(45))</f>
        <v>-8.8388347648318444</v>
      </c>
      <c r="N22" s="12"/>
      <c r="O22" s="12">
        <f t="shared" si="3"/>
        <v>2.8252380952380958</v>
      </c>
      <c r="P22" s="12">
        <f t="shared" si="4"/>
        <v>1.1976575777196861</v>
      </c>
      <c r="Q22" s="13">
        <f t="shared" si="0"/>
        <v>-1.1976575777196861</v>
      </c>
    </row>
    <row r="23" spans="1:17" ht="15" x14ac:dyDescent="0.25">
      <c r="A23" s="61" t="s">
        <v>102</v>
      </c>
      <c r="B23" s="13"/>
      <c r="C23" s="2"/>
      <c r="F23" s="11"/>
      <c r="G23" s="12"/>
      <c r="H23" s="12"/>
      <c r="I23" s="12"/>
      <c r="J23" s="13"/>
      <c r="L23" s="11"/>
      <c r="M23" s="12"/>
      <c r="N23" s="12"/>
      <c r="O23" s="12">
        <f t="shared" si="3"/>
        <v>3.1576190476190482</v>
      </c>
      <c r="P23" s="12">
        <f t="shared" si="4"/>
        <v>0.86887212839991701</v>
      </c>
      <c r="Q23" s="13">
        <f t="shared" si="0"/>
        <v>-0.86887212839991701</v>
      </c>
    </row>
    <row r="24" spans="1:17" ht="15.75" thickBot="1" x14ac:dyDescent="0.3">
      <c r="A24" s="44" t="s">
        <v>11</v>
      </c>
      <c r="B24" s="62" t="s">
        <v>109</v>
      </c>
      <c r="C24" s="2"/>
      <c r="F24" s="74"/>
      <c r="G24" s="75"/>
      <c r="H24" s="75"/>
      <c r="I24" s="75"/>
      <c r="J24" s="76"/>
      <c r="K24" s="3"/>
      <c r="L24" s="17"/>
      <c r="M24" s="18"/>
      <c r="N24" s="18"/>
      <c r="O24" s="18">
        <f t="shared" si="3"/>
        <v>3.4900000000000007</v>
      </c>
      <c r="P24" s="18" t="e">
        <f t="shared" si="4"/>
        <v>#NUM!</v>
      </c>
      <c r="Q24" s="19" t="e">
        <f t="shared" si="0"/>
        <v>#NUM!</v>
      </c>
    </row>
    <row r="25" spans="1:17" ht="15" x14ac:dyDescent="0.25">
      <c r="A25" s="44" t="s">
        <v>12</v>
      </c>
      <c r="B25" s="62" t="s">
        <v>14</v>
      </c>
      <c r="C25" s="2"/>
    </row>
    <row r="26" spans="1:17" ht="15" x14ac:dyDescent="0.25">
      <c r="A26" s="44" t="s">
        <v>13</v>
      </c>
      <c r="B26" s="46">
        <v>5</v>
      </c>
      <c r="C26" s="2"/>
    </row>
    <row r="27" spans="1:17" ht="15" x14ac:dyDescent="0.25">
      <c r="A27" s="44" t="s">
        <v>6</v>
      </c>
      <c r="B27" s="46">
        <v>150</v>
      </c>
    </row>
    <row r="28" spans="1:17" ht="15" x14ac:dyDescent="0.25">
      <c r="A28" s="44" t="s">
        <v>7</v>
      </c>
      <c r="B28" s="46">
        <v>2000</v>
      </c>
      <c r="O28" s="4"/>
    </row>
    <row r="29" spans="1:17" ht="15" x14ac:dyDescent="0.25">
      <c r="A29" s="44" t="s">
        <v>16</v>
      </c>
      <c r="B29" s="46">
        <v>20</v>
      </c>
      <c r="D29" s="4"/>
      <c r="O29" s="4"/>
    </row>
    <row r="30" spans="1:17" ht="15" x14ac:dyDescent="0.25">
      <c r="A30" s="44" t="s">
        <v>17</v>
      </c>
      <c r="B30" s="46">
        <v>1</v>
      </c>
    </row>
    <row r="31" spans="1:17" ht="15" x14ac:dyDescent="0.25">
      <c r="A31" s="44" t="s">
        <v>8</v>
      </c>
      <c r="B31" s="46">
        <v>1500</v>
      </c>
    </row>
    <row r="32" spans="1:17" ht="15" x14ac:dyDescent="0.25">
      <c r="A32" s="44" t="s">
        <v>9</v>
      </c>
      <c r="B32" s="46">
        <v>1</v>
      </c>
    </row>
    <row r="33" spans="1:2" ht="15" x14ac:dyDescent="0.25">
      <c r="A33" s="44" t="s">
        <v>15</v>
      </c>
      <c r="B33" s="46">
        <v>2</v>
      </c>
    </row>
    <row r="34" spans="1:2" ht="15" x14ac:dyDescent="0.25">
      <c r="A34" s="44" t="s">
        <v>95</v>
      </c>
      <c r="B34" s="70" t="s">
        <v>111</v>
      </c>
    </row>
    <row r="35" spans="1:2" x14ac:dyDescent="0.2">
      <c r="A35" s="11"/>
      <c r="B35" s="13"/>
    </row>
    <row r="36" spans="1:2" x14ac:dyDescent="0.2">
      <c r="A36" s="11"/>
      <c r="B36" s="13"/>
    </row>
    <row r="37" spans="1:2" x14ac:dyDescent="0.2">
      <c r="A37" s="11"/>
      <c r="B37" s="13"/>
    </row>
    <row r="38" spans="1:2" ht="13.5" thickBot="1" x14ac:dyDescent="0.25">
      <c r="A38" s="17"/>
      <c r="B38" s="19"/>
    </row>
    <row r="39" spans="1:2" x14ac:dyDescent="0.2">
      <c r="A39" s="12"/>
      <c r="B39" s="12"/>
    </row>
    <row r="40" spans="1:2" x14ac:dyDescent="0.2">
      <c r="A40" s="12"/>
      <c r="B40" s="12"/>
    </row>
    <row r="41" spans="1:2" x14ac:dyDescent="0.2">
      <c r="A41" s="12"/>
      <c r="B41" s="12"/>
    </row>
    <row r="42" spans="1:2" x14ac:dyDescent="0.2">
      <c r="A42" s="12"/>
      <c r="B42" s="12"/>
    </row>
  </sheetData>
  <mergeCells count="5">
    <mergeCell ref="A1:B1"/>
    <mergeCell ref="F1:J1"/>
    <mergeCell ref="G2:H2"/>
    <mergeCell ref="I2:J2"/>
    <mergeCell ref="L1:Q1"/>
  </mergeCells>
  <phoneticPr fontId="3" type="noConversion"/>
  <dataValidations count="3">
    <dataValidation type="list" allowBlank="1" showInputMessage="1" showErrorMessage="1" sqref="B24" xr:uid="{00000000-0002-0000-0000-000000000000}">
      <formula1>$D$12:$D$16</formula1>
    </dataValidation>
    <dataValidation type="list" allowBlank="1" showInputMessage="1" showErrorMessage="1" sqref="B4" xr:uid="{56BEB450-02DD-4DB9-9F8E-EECB8F3FBD54}">
      <formula1>$D$8:$D$9</formula1>
    </dataValidation>
    <dataValidation type="list" allowBlank="1" showInputMessage="1" showErrorMessage="1" sqref="B25" xr:uid="{00000000-0002-0000-0000-000001000000}">
      <formula1>$D$19:$D$25</formula1>
    </dataValidation>
  </dataValidations>
  <pageMargins left="0.75" right="0.75" top="1" bottom="1" header="0.5" footer="0.5"/>
  <pageSetup orientation="portrait" horizontalDpi="200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otão 1">
              <controlPr defaultSize="0" print="0" autoFill="0" autoPict="0" macro="[0]!Button1_Click">
                <anchor moveWithCells="1">
                  <from>
                    <xdr:col>0</xdr:col>
                    <xdr:colOff>704850</xdr:colOff>
                    <xdr:row>34</xdr:row>
                    <xdr:rowOff>95250</xdr:rowOff>
                  </from>
                  <to>
                    <xdr:col>1</xdr:col>
                    <xdr:colOff>1057275</xdr:colOff>
                    <xdr:row>37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8C1AF-04D6-4888-A96E-8A167715744A}">
  <sheetPr codeName="Planilha3"/>
  <dimension ref="A1:B4"/>
  <sheetViews>
    <sheetView workbookViewId="0">
      <selection activeCell="B12" sqref="B12"/>
    </sheetView>
  </sheetViews>
  <sheetFormatPr defaultRowHeight="12.75" x14ac:dyDescent="0.2"/>
  <cols>
    <col min="1" max="1" width="12.5703125" customWidth="1"/>
    <col min="2" max="2" width="41.28515625" customWidth="1"/>
  </cols>
  <sheetData>
    <row r="1" spans="1:2" x14ac:dyDescent="0.2">
      <c r="A1" s="87" t="s">
        <v>100</v>
      </c>
      <c r="B1" s="87"/>
    </row>
    <row r="2" spans="1:2" x14ac:dyDescent="0.2">
      <c r="A2" s="38">
        <v>43783</v>
      </c>
      <c r="B2" s="4" t="s">
        <v>101</v>
      </c>
    </row>
    <row r="3" spans="1:2" x14ac:dyDescent="0.2">
      <c r="A3" s="38">
        <v>43789</v>
      </c>
      <c r="B3" t="s">
        <v>112</v>
      </c>
    </row>
    <row r="4" spans="1:2" x14ac:dyDescent="0.2">
      <c r="A4" s="38">
        <v>43809</v>
      </c>
      <c r="B4" s="4" t="s">
        <v>115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Block Shapes</vt:lpstr>
      <vt:lpstr>Beam Stay Clear</vt:lpstr>
      <vt:lpstr>Electron beam and constants</vt:lpstr>
      <vt:lpstr>Create Undulator Magnet</vt:lpstr>
      <vt:lpstr>Updates</vt:lpstr>
    </vt:vector>
  </TitlesOfParts>
  <Company>Infolytica Limited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Ashen</dc:creator>
  <cp:lastModifiedBy>Luana Nayara Pires Vilela</cp:lastModifiedBy>
  <dcterms:created xsi:type="dcterms:W3CDTF">2002-07-23T21:00:28Z</dcterms:created>
  <dcterms:modified xsi:type="dcterms:W3CDTF">2019-12-10T13:50:30Z</dcterms:modified>
</cp:coreProperties>
</file>