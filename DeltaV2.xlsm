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"/>
    </mc:Choice>
  </mc:AlternateContent>
  <xr:revisionPtr revIDLastSave="0" documentId="13_ncr:1_{EB9B8613-6817-4761-8870-F1E0526902E8}" xr6:coauthVersionLast="36" xr6:coauthVersionMax="43" xr10:uidLastSave="{00000000-0000-0000-0000-000000000000}"/>
  <bookViews>
    <workbookView xWindow="0" yWindow="0" windowWidth="28800" windowHeight="12225" activeTab="1" xr2:uid="{00000000-000D-0000-FFFF-FFFF00000000}"/>
  </bookViews>
  <sheets>
    <sheet name="Beam Stay Clear" sheetId="3" r:id="rId1"/>
    <sheet name="Electron beam and constants" sheetId="7" r:id="rId2"/>
    <sheet name="Create Undulator Magne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5" i="7" l="1"/>
  <c r="B19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5" i="7"/>
  <c r="B31" i="7" l="1"/>
  <c r="B16" i="1" l="1"/>
  <c r="B18" i="1" s="1"/>
  <c r="B27" i="7" s="1"/>
  <c r="B29" i="7"/>
  <c r="B28" i="7"/>
  <c r="B20" i="7"/>
  <c r="I5" i="7" s="1"/>
  <c r="M5" i="7" s="1"/>
  <c r="M4" i="1"/>
  <c r="Q5" i="1" s="1"/>
  <c r="N7" i="1"/>
  <c r="F10" i="1"/>
  <c r="E10" i="1"/>
  <c r="O5" i="3"/>
  <c r="O4" i="3"/>
  <c r="E5" i="3"/>
  <c r="E4" i="3"/>
  <c r="B30" i="7" l="1"/>
  <c r="B19" i="1"/>
  <c r="B32" i="7" s="1"/>
  <c r="F5" i="7"/>
  <c r="F11" i="7"/>
  <c r="F9" i="7"/>
  <c r="F7" i="7"/>
  <c r="F12" i="7"/>
  <c r="F10" i="7"/>
  <c r="F8" i="7"/>
  <c r="F6" i="7"/>
  <c r="P7" i="1"/>
  <c r="P5" i="1"/>
  <c r="Q16" i="1"/>
  <c r="Q12" i="1"/>
  <c r="Q8" i="1"/>
  <c r="N8" i="1"/>
  <c r="N9" i="1" s="1"/>
  <c r="P4" i="1"/>
  <c r="Q18" i="1"/>
  <c r="Q14" i="1"/>
  <c r="Q10" i="1"/>
  <c r="Q6" i="1"/>
  <c r="P18" i="1"/>
  <c r="P6" i="1"/>
  <c r="Q4" i="1"/>
  <c r="Q17" i="1"/>
  <c r="Q15" i="1"/>
  <c r="Q13" i="1"/>
  <c r="Q11" i="1"/>
  <c r="Q9" i="1"/>
  <c r="Q7" i="1"/>
  <c r="F22" i="1"/>
  <c r="E12" i="1"/>
  <c r="F15" i="1"/>
  <c r="E18" i="1"/>
  <c r="E21" i="1"/>
  <c r="F21" i="1"/>
  <c r="F12" i="1"/>
  <c r="E15" i="1"/>
  <c r="F18" i="1"/>
  <c r="E13" i="1"/>
  <c r="F13" i="1"/>
  <c r="F16" i="1"/>
  <c r="E16" i="1"/>
  <c r="E19" i="1"/>
  <c r="F19" i="1"/>
  <c r="E22" i="1"/>
  <c r="B34" i="7" l="1"/>
  <c r="B21" i="1" s="1"/>
  <c r="P8" i="1"/>
  <c r="N10" i="1"/>
  <c r="P9" i="1"/>
  <c r="H5" i="7" l="1"/>
  <c r="B35" i="7"/>
  <c r="B22" i="1" s="1"/>
  <c r="E10" i="7"/>
  <c r="E6" i="7"/>
  <c r="E11" i="7"/>
  <c r="E7" i="7"/>
  <c r="E12" i="7"/>
  <c r="E8" i="7"/>
  <c r="E5" i="7"/>
  <c r="B20" i="1" s="1"/>
  <c r="E9" i="7"/>
  <c r="N11" i="1"/>
  <c r="P10" i="1"/>
  <c r="J5" i="7" l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J6" i="7" s="1"/>
  <c r="N12" i="1"/>
  <c r="P11" i="1"/>
  <c r="I6" i="7" l="1"/>
  <c r="M6" i="7" s="1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J7" i="7" s="1"/>
  <c r="AF6" i="7"/>
  <c r="T6" i="7"/>
  <c r="Q6" i="7"/>
  <c r="N6" i="7"/>
  <c r="Z6" i="7"/>
  <c r="N13" i="1"/>
  <c r="P12" i="1"/>
  <c r="I7" i="7" l="1"/>
  <c r="M7" i="7" s="1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J8" i="7" s="1"/>
  <c r="Z7" i="7"/>
  <c r="N7" i="7"/>
  <c r="AF7" i="7"/>
  <c r="T7" i="7"/>
  <c r="Q7" i="7"/>
  <c r="N14" i="1"/>
  <c r="P13" i="1"/>
  <c r="I8" i="7" l="1"/>
  <c r="M8" i="7" s="1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J9" i="7" s="1"/>
  <c r="AF8" i="7"/>
  <c r="Z8" i="7"/>
  <c r="T8" i="7"/>
  <c r="Q8" i="7"/>
  <c r="N8" i="7"/>
  <c r="N15" i="1"/>
  <c r="P14" i="1"/>
  <c r="I9" i="7" l="1"/>
  <c r="M9" i="7" s="1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J10" i="7" s="1"/>
  <c r="N9" i="7"/>
  <c r="AF9" i="7"/>
  <c r="Z9" i="7"/>
  <c r="T9" i="7"/>
  <c r="Q9" i="7"/>
  <c r="N16" i="1"/>
  <c r="P15" i="1"/>
  <c r="I10" i="7" l="1"/>
  <c r="M10" i="7" s="1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J11" i="7" s="1"/>
  <c r="AF10" i="7"/>
  <c r="T10" i="7"/>
  <c r="Q10" i="7"/>
  <c r="N10" i="7"/>
  <c r="Z10" i="7"/>
  <c r="N17" i="1"/>
  <c r="P17" i="1" s="1"/>
  <c r="P16" i="1"/>
  <c r="I11" i="7" l="1"/>
  <c r="M11" i="7" s="1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J12" i="7" s="1"/>
  <c r="Z11" i="7"/>
  <c r="N11" i="7"/>
  <c r="AF11" i="7"/>
  <c r="T11" i="7"/>
  <c r="Q11" i="7"/>
  <c r="I12" i="7" l="1"/>
  <c r="M12" i="7" s="1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J13" i="7" s="1"/>
  <c r="AF12" i="7"/>
  <c r="Z12" i="7"/>
  <c r="T12" i="7"/>
  <c r="Q12" i="7"/>
  <c r="N12" i="7"/>
  <c r="I13" i="7" l="1"/>
  <c r="M13" i="7" s="1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J14" i="7" s="1"/>
  <c r="N13" i="7"/>
  <c r="AF13" i="7"/>
  <c r="Z13" i="7"/>
  <c r="T13" i="7"/>
  <c r="Q13" i="7"/>
  <c r="I14" i="7" l="1"/>
  <c r="M14" i="7" s="1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J15" i="7" s="1"/>
  <c r="AF14" i="7"/>
  <c r="T14" i="7"/>
  <c r="Q14" i="7"/>
  <c r="N14" i="7"/>
  <c r="Z14" i="7"/>
  <c r="I15" i="7" l="1"/>
  <c r="M15" i="7" s="1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J16" i="7" s="1"/>
  <c r="Z15" i="7"/>
  <c r="N15" i="7"/>
  <c r="AF15" i="7"/>
  <c r="T15" i="7"/>
  <c r="Q15" i="7"/>
  <c r="I16" i="7" l="1"/>
  <c r="M16" i="7" s="1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J17" i="7" s="1"/>
  <c r="AF16" i="7"/>
  <c r="N16" i="7"/>
  <c r="Z16" i="7"/>
  <c r="T16" i="7"/>
  <c r="Q16" i="7"/>
  <c r="I17" i="7" l="1"/>
  <c r="M17" i="7" s="1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J18" i="7" s="1"/>
  <c r="N17" i="7"/>
  <c r="AF17" i="7"/>
  <c r="Z17" i="7"/>
  <c r="T17" i="7"/>
  <c r="Q17" i="7"/>
  <c r="I18" i="7" l="1"/>
  <c r="M18" i="7" s="1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J19" i="7" s="1"/>
  <c r="AF18" i="7"/>
  <c r="T18" i="7"/>
  <c r="Q18" i="7"/>
  <c r="N18" i="7"/>
  <c r="Z18" i="7"/>
  <c r="I19" i="7" l="1"/>
  <c r="M19" i="7" s="1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J20" i="7" s="1"/>
  <c r="Z19" i="7"/>
  <c r="AF19" i="7"/>
  <c r="T19" i="7"/>
  <c r="Q19" i="7"/>
  <c r="N19" i="7"/>
  <c r="I20" i="7" l="1"/>
  <c r="M20" i="7" s="1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J21" i="7" s="1"/>
  <c r="AF20" i="7"/>
  <c r="N20" i="7"/>
  <c r="Z20" i="7"/>
  <c r="T20" i="7"/>
  <c r="Q20" i="7"/>
  <c r="I21" i="7" l="1"/>
  <c r="M21" i="7" s="1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J22" i="7" s="1"/>
  <c r="N21" i="7"/>
  <c r="AF21" i="7"/>
  <c r="Z21" i="7"/>
  <c r="T21" i="7"/>
  <c r="Q21" i="7"/>
  <c r="I22" i="7" l="1"/>
  <c r="M22" i="7" s="1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J23" i="7" s="1"/>
  <c r="AF22" i="7"/>
  <c r="Q22" i="7"/>
  <c r="N22" i="7"/>
  <c r="Z22" i="7"/>
  <c r="T22" i="7"/>
  <c r="I23" i="7" l="1"/>
  <c r="M23" i="7" s="1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J24" i="7" s="1"/>
  <c r="Z23" i="7"/>
  <c r="T23" i="7"/>
  <c r="N23" i="7"/>
  <c r="AF23" i="7"/>
  <c r="Q23" i="7"/>
  <c r="I24" i="7" l="1"/>
  <c r="M24" i="7" s="1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B23" i="1"/>
  <c r="B6" i="1" l="1"/>
  <c r="G5" i="1" s="1"/>
  <c r="B7" i="1"/>
  <c r="G3" i="1" s="1"/>
  <c r="H3" i="1" s="1"/>
  <c r="F3" i="1" l="1"/>
  <c r="F5" i="1"/>
  <c r="F4" i="1"/>
  <c r="F7" i="1"/>
  <c r="F6" i="1"/>
  <c r="J3" i="1"/>
  <c r="I3" i="1"/>
  <c r="H4" i="1"/>
  <c r="E7" i="1"/>
  <c r="E5" i="1"/>
  <c r="E3" i="1"/>
  <c r="E6" i="1"/>
  <c r="E4" i="1"/>
  <c r="J4" i="1" l="1"/>
  <c r="I4" i="1"/>
  <c r="H5" i="1"/>
  <c r="I5" i="1" l="1"/>
  <c r="J5" i="1"/>
  <c r="H6" i="1"/>
  <c r="J6" i="1" l="1"/>
  <c r="I6" i="1"/>
  <c r="H7" i="1"/>
  <c r="I7" i="1" l="1"/>
  <c r="J7" i="1"/>
  <c r="H8" i="1"/>
  <c r="J8" i="1" l="1"/>
  <c r="I8" i="1"/>
  <c r="H9" i="1"/>
  <c r="I9" i="1" l="1"/>
  <c r="J9" i="1"/>
  <c r="H10" i="1"/>
  <c r="J10" i="1" l="1"/>
  <c r="I10" i="1"/>
  <c r="H11" i="1"/>
  <c r="I11" i="1" l="1"/>
  <c r="J11" i="1"/>
  <c r="H12" i="1"/>
  <c r="J12" i="1" l="1"/>
  <c r="I12" i="1"/>
  <c r="H13" i="1"/>
  <c r="I13" i="1" l="1"/>
  <c r="J13" i="1"/>
  <c r="H14" i="1"/>
  <c r="J14" i="1" l="1"/>
  <c r="I14" i="1"/>
  <c r="H15" i="1"/>
  <c r="I15" i="1" l="1"/>
  <c r="J15" i="1"/>
  <c r="H16" i="1"/>
  <c r="J16" i="1" l="1"/>
  <c r="I16" i="1"/>
  <c r="H17" i="1"/>
  <c r="I17" i="1" l="1"/>
  <c r="J17" i="1"/>
  <c r="H18" i="1"/>
  <c r="J18" i="1" l="1"/>
  <c r="I18" i="1"/>
  <c r="H19" i="1"/>
  <c r="I19" i="1" l="1"/>
  <c r="J19" i="1"/>
  <c r="H20" i="1"/>
  <c r="J20" i="1" l="1"/>
  <c r="I20" i="1"/>
  <c r="H21" i="1"/>
  <c r="I21" i="1" l="1"/>
  <c r="J21" i="1"/>
  <c r="H22" i="1"/>
  <c r="J22" i="1" l="1"/>
  <c r="I22" i="1"/>
  <c r="H23" i="1"/>
  <c r="I23" i="1" l="1"/>
  <c r="J23" i="1"/>
  <c r="H24" i="1"/>
  <c r="J24" i="1" l="1"/>
  <c r="I24" i="1"/>
</calcChain>
</file>

<file path=xl/sharedStrings.xml><?xml version="1.0" encoding="utf-8"?>
<sst xmlns="http://schemas.openxmlformats.org/spreadsheetml/2006/main" count="143" uniqueCount="104">
  <si>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</si>
  <si>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</si>
  <si>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</si>
  <si>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</si>
  <si>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</si>
  <si>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</si>
  <si>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</si>
  <si>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</si>
  <si>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</si>
  <si>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</si>
  <si>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</si>
  <si>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</si>
  <si>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</si>
  <si>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</si>
  <si>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</si>
  <si>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</si>
  <si>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</si>
  <si>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</si>
  <si>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</si>
  <si>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</si>
  <si>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</si>
  <si>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</si>
  <si>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</si>
  <si>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</si>
  <si>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</si>
  <si>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</si>
  <si>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</si>
  <si>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</si>
  <si>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</si>
  <si>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</si>
  <si>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</si>
  <si>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</si>
  <si>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</si>
  <si>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</si>
  <si>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</si>
  <si>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</si>
  <si>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</si>
  <si>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</si>
  <si>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</si>
  <si>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</si>
  <si>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</si>
  <si>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</si>
  <si>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</si>
  <si>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</si>
  <si>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g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</si>
  <si>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</si>
  <si>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</si>
  <si>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</si>
  <si>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</si>
  <si>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</si>
  <si>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</si>
  <si>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</si>
  <si>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</si>
  <si>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</si>
  <si>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</si>
  <si>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</si>
  <si>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</si>
  <si>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</si>
  <si>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</si>
  <si>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</si>
  <si>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</si>
  <si>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</si>
  <si>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</si>
  <si>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</si>
  <si>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</si>
  <si>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</si>
  <si>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</si>
  <si>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</si>
  <si>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</si>
  <si>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</si>
  <si>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</si>
  <si>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</si>
  <si>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</si>
  <si>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</si>
  <si>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</si>
  <si>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</si>
  <si>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</si>
  <si>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</si>
  <si>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</si>
  <si>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</si>
  <si>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</si>
  <si>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</si>
  <si>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</si>
  <si>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</si>
  <si>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</si>
  <si>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</si>
  <si>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</si>
  <si>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</si>
  <si>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</si>
  <si>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</si>
  <si>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</si>
  <si>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</si>
  <si>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</si>
  <si>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</si>
  <si>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</si>
  <si>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</si>
  <si>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</si>
  <si>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</si>
  <si>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</si>
  <si>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</si>
  <si>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magnet model parameters</t>
  </si>
  <si>
    <t>Length [mm]</t>
  </si>
  <si>
    <t xml:space="preserve">λ1 [nm] </t>
  </si>
  <si>
    <t>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</si>
</sst>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4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2" fontId="0" fillId="0" borderId="0" xfId="0" applyNumberForma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1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9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5" fillId="0" borderId="0" xfId="0" applyFont="1"/>
    <xf numFmtId="0" fontId="5" fillId="0" borderId="0" xfId="0" applyFont="1" applyAlignment="1">
      <alignment horizontal="left" indent="3"/>
    </xf>
    <xf numFmtId="0" fontId="16" fillId="0" borderId="0" xfId="0" applyFont="1"/>
    <xf numFmtId="0" fontId="17" fillId="0" borderId="0" xfId="0" applyFont="1" applyAlignment="1">
      <alignment horizontal="right"/>
    </xf>
    <xf numFmtId="2" fontId="9" fillId="0" borderId="0" xfId="0" applyNumberFormat="1" applyFont="1"/>
    <xf numFmtId="0" fontId="14" fillId="0" borderId="0" xfId="0" applyFont="1" applyAlignment="1">
      <alignment horizontal="center"/>
    </xf>
    <xf numFmtId="0" fontId="18" fillId="0" borderId="0" xfId="0" applyFont="1"/>
    <xf numFmtId="166" fontId="16" fillId="0" borderId="0" xfId="0" applyNumberFormat="1" applyFont="1"/>
    <xf numFmtId="11" fontId="6" fillId="0" borderId="0" xfId="0" applyNumberFormat="1" applyFont="1"/>
    <xf numFmtId="0" fontId="14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9" fillId="0" borderId="0" xfId="0" applyFont="1"/>
    <xf numFmtId="165" fontId="16" fillId="0" borderId="0" xfId="0" applyNumberFormat="1" applyFont="1"/>
    <xf numFmtId="164" fontId="16" fillId="0" borderId="0" xfId="0" applyNumberFormat="1" applyFont="1"/>
    <xf numFmtId="2" fontId="16" fillId="0" borderId="0" xfId="0" applyNumberFormat="1" applyFont="1"/>
    <xf numFmtId="1" fontId="16" fillId="0" borderId="0" xfId="0" applyNumberFormat="1" applyFont="1"/>
    <xf numFmtId="0" fontId="14" fillId="0" borderId="0" xfId="0" applyFont="1" applyAlignment="1"/>
    <xf numFmtId="1" fontId="16" fillId="0" borderId="0" xfId="0" applyNumberFormat="1" applyFont="1" applyAlignment="1">
      <alignment horizontal="center"/>
    </xf>
    <xf numFmtId="167" fontId="16" fillId="0" borderId="0" xfId="0" applyNumberFormat="1" applyFont="1" applyAlignment="1">
      <alignment horizontal="center"/>
    </xf>
    <xf numFmtId="11" fontId="14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168" fontId="6" fillId="0" borderId="0" xfId="1" applyNumberFormat="1" applyFont="1"/>
    <xf numFmtId="169" fontId="6" fillId="0" borderId="0" xfId="0" applyNumberFormat="1" applyFont="1"/>
    <xf numFmtId="0" fontId="21" fillId="0" borderId="0" xfId="0" applyFont="1"/>
    <xf numFmtId="0" fontId="4" fillId="0" borderId="0" xfId="0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9" fillId="0" borderId="1" xfId="0" applyFont="1" applyBorder="1"/>
    <xf numFmtId="0" fontId="2" fillId="0" borderId="0" xfId="0" applyFont="1" applyAlignment="1"/>
    <xf numFmtId="11" fontId="22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3" fillId="0" borderId="0" xfId="0" applyFont="1"/>
    <xf numFmtId="0" fontId="12" fillId="2" borderId="1" xfId="0" applyFont="1" applyFill="1" applyBorder="1" applyAlignment="1">
      <alignment horizontal="center"/>
    </xf>
    <xf numFmtId="2" fontId="12" fillId="0" borderId="1" xfId="0" applyNumberFormat="1" applyFont="1" applyFill="1" applyBorder="1" applyAlignment="1">
      <alignment horizontal="center"/>
    </xf>
    <xf numFmtId="2" fontId="12" fillId="0" borderId="2" xfId="0" applyNumberFormat="1" applyFont="1" applyFill="1" applyBorder="1" applyAlignment="1">
      <alignment horizontal="center"/>
    </xf>
    <xf numFmtId="2" fontId="12" fillId="0" borderId="3" xfId="0" applyNumberFormat="1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5.441075563452208E+17</c:v>
                </c:pt>
                <c:pt idx="1">
                  <c:v>5.812526505603113E+17</c:v>
                </c:pt>
                <c:pt idx="2">
                  <c:v>6.2055243125831757E+17</c:v>
                </c:pt>
                <c:pt idx="3">
                  <c:v>6.6168920996683034E+17</c:v>
                </c:pt>
                <c:pt idx="4">
                  <c:v>7.0409891206942182E+17</c:v>
                </c:pt>
                <c:pt idx="5">
                  <c:v>7.4687213249988198E+17</c:v>
                </c:pt>
                <c:pt idx="6">
                  <c:v>7.8862948942607808E+17</c:v>
                </c:pt>
                <c:pt idx="7">
                  <c:v>8.2737447970084173E+17</c:v>
                </c:pt>
                <c:pt idx="8">
                  <c:v>8.6033811846499418E+17</c:v>
                </c:pt>
                <c:pt idx="9">
                  <c:v>8.8384991195783437E+17</c:v>
                </c:pt>
                <c:pt idx="10">
                  <c:v>8.9330221371588173E+17</c:v>
                </c:pt>
                <c:pt idx="11">
                  <c:v>8.8331918406970995E+17</c:v>
                </c:pt>
                <c:pt idx="12">
                  <c:v>8.4828626179240806E+17</c:v>
                </c:pt>
                <c:pt idx="13">
                  <c:v>7.8340909155148339E+17</c:v>
                </c:pt>
                <c:pt idx="14">
                  <c:v>6.8639160087684506E+17</c:v>
                </c:pt>
                <c:pt idx="15">
                  <c:v>5.5957675227617613E+17</c:v>
                </c:pt>
                <c:pt idx="16">
                  <c:v>4.1195629859744013E+17</c:v>
                </c:pt>
                <c:pt idx="17">
                  <c:v>2.5997152385933901E+17</c:v>
                </c:pt>
                <c:pt idx="18">
                  <c:v>1.2588559134365544E+17</c:v>
                </c:pt>
                <c:pt idx="19">
                  <c:v>3.3183193913887624E+16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9.0845402388988262E+17</c:v>
                </c:pt>
                <c:pt idx="1">
                  <c:v>9.4105040798368256E+17</c:v>
                </c:pt>
                <c:pt idx="2">
                  <c:v>9.6857443363675021E+17</c:v>
                </c:pt>
                <c:pt idx="3">
                  <c:v>9.8856671871469325E+17</c:v>
                </c:pt>
                <c:pt idx="4">
                  <c:v>9.9801484949837478E+17</c:v>
                </c:pt>
                <c:pt idx="5">
                  <c:v>9.9340254051491802E+17</c:v>
                </c:pt>
                <c:pt idx="6">
                  <c:v>9.7090114525209498E+17</c:v>
                </c:pt>
                <c:pt idx="7">
                  <c:v>9.2678565500672384E+17</c:v>
                </c:pt>
                <c:pt idx="8">
                  <c:v>8.5815835096054694E+17</c:v>
                </c:pt>
                <c:pt idx="9">
                  <c:v>7.6401610512063565E+17</c:v>
                </c:pt>
                <c:pt idx="10">
                  <c:v>6.4655870129353344E+17</c:v>
                </c:pt>
                <c:pt idx="11">
                  <c:v>5.1237321589201869E+17</c:v>
                </c:pt>
                <c:pt idx="12">
                  <c:v>3.7278854128623373E+17</c:v>
                </c:pt>
                <c:pt idx="13">
                  <c:v>2.4249906273646858E+17</c:v>
                </c:pt>
                <c:pt idx="14">
                  <c:v>1.3594286190653899E+17</c:v>
                </c:pt>
                <c:pt idx="15">
                  <c:v>6.2249680776729984E+16</c:v>
                </c:pt>
                <c:pt idx="16">
                  <c:v>2.1398352372713492E+16</c:v>
                </c:pt>
                <c:pt idx="17">
                  <c:v>4750200112566437</c:v>
                </c:pt>
                <c:pt idx="18">
                  <c:v>491167208045381.56</c:v>
                </c:pt>
                <c:pt idx="19">
                  <c:v>8486739219249.9922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1.0153772750711872E+18</c:v>
                </c:pt>
                <c:pt idx="1">
                  <c:v>1.0173300059635222E+18</c:v>
                </c:pt>
                <c:pt idx="2">
                  <c:v>1.0064167399277458E+18</c:v>
                </c:pt>
                <c:pt idx="3">
                  <c:v>9.7974437972188749E+17</c:v>
                </c:pt>
                <c:pt idx="4">
                  <c:v>9.3457857306020723E+17</c:v>
                </c:pt>
                <c:pt idx="5">
                  <c:v>8.6883749147445312E+17</c:v>
                </c:pt>
                <c:pt idx="6">
                  <c:v>7.8179503089481331E+17</c:v>
                </c:pt>
                <c:pt idx="7">
                  <c:v>6.749411237874665E+17</c:v>
                </c:pt>
                <c:pt idx="8">
                  <c:v>5.5281053070327878E+17</c:v>
                </c:pt>
                <c:pt idx="9">
                  <c:v>4.234004726556201E+17</c:v>
                </c:pt>
                <c:pt idx="10">
                  <c:v>2.9763760942453318E+17</c:v>
                </c:pt>
                <c:pt idx="11">
                  <c:v>1.8742908259597069E+17</c:v>
                </c:pt>
                <c:pt idx="12">
                  <c:v>1.0239940495186982E+17</c:v>
                </c:pt>
                <c:pt idx="13">
                  <c:v>4.6492252621799456E+16</c:v>
                </c:pt>
                <c:pt idx="14">
                  <c:v>1.652468931813155E+16</c:v>
                </c:pt>
                <c:pt idx="15">
                  <c:v>4213049955040957.5</c:v>
                </c:pt>
                <c:pt idx="16">
                  <c:v>670798322519058.13</c:v>
                </c:pt>
                <c:pt idx="17">
                  <c:v>52020698751390.25</c:v>
                </c:pt>
                <c:pt idx="18">
                  <c:v>1142456888117.3298</c:v>
                </c:pt>
                <c:pt idx="19">
                  <c:v>1289584136.7445021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1.0029351396212454E+18</c:v>
                </c:pt>
                <c:pt idx="1">
                  <c:v>9.7061530163056461E+17</c:v>
                </c:pt>
                <c:pt idx="2">
                  <c:v>9.215346432649609E+17</c:v>
                </c:pt>
                <c:pt idx="3">
                  <c:v>8.5427151245622938E+17</c:v>
                </c:pt>
                <c:pt idx="4">
                  <c:v>7.6858429069448141E+17</c:v>
                </c:pt>
                <c:pt idx="5">
                  <c:v>6.660426289502537E+17</c:v>
                </c:pt>
                <c:pt idx="6">
                  <c:v>5.5061545112017658E+17</c:v>
                </c:pt>
                <c:pt idx="7">
                  <c:v>4.2895809323124659E+17</c:v>
                </c:pt>
                <c:pt idx="8">
                  <c:v>3.1003834367229914E+17</c:v>
                </c:pt>
                <c:pt idx="9">
                  <c:v>2.037744031191528E+17</c:v>
                </c:pt>
                <c:pt idx="10">
                  <c:v>1.1868588770589646E+17</c:v>
                </c:pt>
                <c:pt idx="11">
                  <c:v>5.9234965023109544E+16</c:v>
                </c:pt>
                <c:pt idx="12">
                  <c:v>2.423690214136208E+16</c:v>
                </c:pt>
                <c:pt idx="13">
                  <c:v>7660665919211247</c:v>
                </c:pt>
                <c:pt idx="14">
                  <c:v>1722018740513007</c:v>
                </c:pt>
                <c:pt idx="15">
                  <c:v>243874949277693.06</c:v>
                </c:pt>
                <c:pt idx="16">
                  <c:v>17947470870687.281</c:v>
                </c:pt>
                <c:pt idx="17">
                  <c:v>485368457302.95319</c:v>
                </c:pt>
                <c:pt idx="18">
                  <c:v>2260969880.3364596</c:v>
                </c:pt>
                <c:pt idx="19">
                  <c:v>166584.25189871446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9.3026976420301632E+17</c:v>
                </c:pt>
                <c:pt idx="1">
                  <c:v>8.6893334323639859E+17</c:v>
                </c:pt>
                <c:pt idx="2">
                  <c:v>7.9110870479384256E+17</c:v>
                </c:pt>
                <c:pt idx="3">
                  <c:v>6.9771777218029146E+17</c:v>
                </c:pt>
                <c:pt idx="4">
                  <c:v>5.9149641299785011E+17</c:v>
                </c:pt>
                <c:pt idx="5">
                  <c:v>4.7732073190588166E+17</c:v>
                </c:pt>
                <c:pt idx="6">
                  <c:v>3.621483497771399E+17</c:v>
                </c:pt>
                <c:pt idx="7">
                  <c:v>2.5431117576827424E+17</c:v>
                </c:pt>
                <c:pt idx="8">
                  <c:v>1.6201691002727923E+17</c:v>
                </c:pt>
                <c:pt idx="9">
                  <c:v>9.1274249516927328E+16</c:v>
                </c:pt>
                <c:pt idx="10">
                  <c:v>4.399480326976348E+16</c:v>
                </c:pt>
                <c:pt idx="11">
                  <c:v>1.7382161983611268E+16</c:v>
                </c:pt>
                <c:pt idx="12">
                  <c:v>5320407427215162</c:v>
                </c:pt>
                <c:pt idx="13">
                  <c:v>1169397839381463.5</c:v>
                </c:pt>
                <c:pt idx="14">
                  <c:v>166073708300563.41</c:v>
                </c:pt>
                <c:pt idx="15">
                  <c:v>13052133930285.281</c:v>
                </c:pt>
                <c:pt idx="16">
                  <c:v>443599939045.34473</c:v>
                </c:pt>
                <c:pt idx="17">
                  <c:v>4180589759.0728269</c:v>
                </c:pt>
                <c:pt idx="18">
                  <c:v>4128459.9733891683</c:v>
                </c:pt>
                <c:pt idx="19">
                  <c:v>19.847733707118959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8.301922720958432E+17</c:v>
                </c:pt>
                <c:pt idx="1">
                  <c:v>7.4807444662854464E+17</c:v>
                </c:pt>
                <c:pt idx="2">
                  <c:v>6.527573988955241E+17</c:v>
                </c:pt>
                <c:pt idx="3">
                  <c:v>5.4741210101666451E+17</c:v>
                </c:pt>
                <c:pt idx="4">
                  <c:v>4.3703036640510477E+17</c:v>
                </c:pt>
                <c:pt idx="5">
                  <c:v>3.2821285254869658E+17</c:v>
                </c:pt>
                <c:pt idx="6">
                  <c:v>2.2839764814623712E+17</c:v>
                </c:pt>
                <c:pt idx="7">
                  <c:v>1.4447981125344064E+17</c:v>
                </c:pt>
                <c:pt idx="8">
                  <c:v>8.1080683320919808E+16</c:v>
                </c:pt>
                <c:pt idx="9">
                  <c:v>3.9127298496770256E+16</c:v>
                </c:pt>
                <c:pt idx="10">
                  <c:v>1.5597700810043588E+16</c:v>
                </c:pt>
                <c:pt idx="11">
                  <c:v>4875474138802614</c:v>
                </c:pt>
                <c:pt idx="12">
                  <c:v>1115682502269915.1</c:v>
                </c:pt>
                <c:pt idx="13">
                  <c:v>170427680148601.06</c:v>
                </c:pt>
                <c:pt idx="14">
                  <c:v>15283308206606.688</c:v>
                </c:pt>
                <c:pt idx="15">
                  <c:v>666257287869.64734</c:v>
                </c:pt>
                <c:pt idx="16">
                  <c:v>10453079543.09627</c:v>
                </c:pt>
                <c:pt idx="17">
                  <c:v>34317656.012243547</c:v>
                </c:pt>
                <c:pt idx="18">
                  <c:v>7182.6028589770794</c:v>
                </c:pt>
                <c:pt idx="19">
                  <c:v>2.2527726425133148E-3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7.216642037505367E+17</c:v>
                </c:pt>
                <c:pt idx="1">
                  <c:v>6.2710914670342438E+17</c:v>
                </c:pt>
                <c:pt idx="2">
                  <c:v>5.2426834165814918E+17</c:v>
                </c:pt>
                <c:pt idx="3">
                  <c:v>4.1790263065785363E+17</c:v>
                </c:pt>
                <c:pt idx="4">
                  <c:v>3.140738273756119E+17</c:v>
                </c:pt>
                <c:pt idx="5">
                  <c:v>2.1942788786314867E+17</c:v>
                </c:pt>
                <c:pt idx="6">
                  <c:v>1.399958650369689E+17</c:v>
                </c:pt>
                <c:pt idx="7">
                  <c:v>7.974320029389152E+16</c:v>
                </c:pt>
                <c:pt idx="8">
                  <c:v>3.9404527520075192E+16</c:v>
                </c:pt>
                <c:pt idx="9">
                  <c:v>1.6282177942267354E+16</c:v>
                </c:pt>
                <c:pt idx="10">
                  <c:v>5366048842916163</c:v>
                </c:pt>
                <c:pt idx="11">
                  <c:v>1326492740160206.5</c:v>
                </c:pt>
                <c:pt idx="12">
                  <c:v>226860877536640.28</c:v>
                </c:pt>
                <c:pt idx="13">
                  <c:v>24076837780520.309</c:v>
                </c:pt>
                <c:pt idx="14">
                  <c:v>1362966409229.6475</c:v>
                </c:pt>
                <c:pt idx="15">
                  <c:v>32948597247.555683</c:v>
                </c:pt>
                <c:pt idx="16">
                  <c:v>238577884.82127702</c:v>
                </c:pt>
                <c:pt idx="17">
                  <c:v>272801.8890065244</c:v>
                </c:pt>
                <c:pt idx="18">
                  <c:v>12.099365719863879</c:v>
                </c:pt>
                <c:pt idx="19">
                  <c:v>2.4755497646382668E-7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6.154477267401568E+17</c:v>
                </c:pt>
                <c:pt idx="1">
                  <c:v>5.1562693502630342E+17</c:v>
                </c:pt>
                <c:pt idx="2">
                  <c:v>4.128956727453383E+17</c:v>
                </c:pt>
                <c:pt idx="3">
                  <c:v>3.1275779389369882E+17</c:v>
                </c:pt>
                <c:pt idx="4">
                  <c:v>2.2121224624089594E+17</c:v>
                </c:pt>
                <c:pt idx="5">
                  <c:v>1.4373704953209206E+17</c:v>
                </c:pt>
                <c:pt idx="6">
                  <c:v>8.4054755433716976E+16</c:v>
                </c:pt>
                <c:pt idx="7">
                  <c:v>4.3100975140504904E+16</c:v>
                </c:pt>
                <c:pt idx="8">
                  <c:v>1.8748522603737304E+16</c:v>
                </c:pt>
                <c:pt idx="9">
                  <c:v>6631712046220421</c:v>
                </c:pt>
                <c:pt idx="10">
                  <c:v>1806432766224256.5</c:v>
                </c:pt>
                <c:pt idx="11">
                  <c:v>353072656383477.81</c:v>
                </c:pt>
                <c:pt idx="12">
                  <c:v>45118461142484.82</c:v>
                </c:pt>
                <c:pt idx="13">
                  <c:v>3326184240774.5205</c:v>
                </c:pt>
                <c:pt idx="14">
                  <c:v>118839412895.52058</c:v>
                </c:pt>
                <c:pt idx="15">
                  <c:v>1592826416.7134712</c:v>
                </c:pt>
                <c:pt idx="16">
                  <c:v>5322204.9320134157</c:v>
                </c:pt>
                <c:pt idx="17">
                  <c:v>2119.3498027655264</c:v>
                </c:pt>
                <c:pt idx="18">
                  <c:v>1.991734681764136E-2</c:v>
                </c:pt>
                <c:pt idx="19">
                  <c:v>2.6582194772778062E-11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Magnet'!$E$3:$E$7</c:f>
              <c:numCache>
                <c:formatCode>General</c:formatCode>
                <c:ptCount val="5"/>
                <c:pt idx="0">
                  <c:v>-3.1850000000000001</c:v>
                </c:pt>
                <c:pt idx="1">
                  <c:v>3.1850000000000001</c:v>
                </c:pt>
                <c:pt idx="2">
                  <c:v>3.1850000000000001</c:v>
                </c:pt>
                <c:pt idx="3">
                  <c:v>-3.1850000000000001</c:v>
                </c:pt>
                <c:pt idx="4">
                  <c:v>-3.1850000000000001</c:v>
                </c:pt>
              </c:numCache>
            </c:numRef>
          </c:xVal>
          <c:yVal>
            <c:numRef>
              <c:f>'Create Undulator Magnet'!$F$3:$F$7</c:f>
              <c:numCache>
                <c:formatCode>General</c:formatCode>
                <c:ptCount val="5"/>
                <c:pt idx="0">
                  <c:v>-1.91</c:v>
                </c:pt>
                <c:pt idx="1">
                  <c:v>-1.91</c:v>
                </c:pt>
                <c:pt idx="2">
                  <c:v>1.91</c:v>
                </c:pt>
                <c:pt idx="3">
                  <c:v>1.91</c:v>
                </c:pt>
                <c:pt idx="4">
                  <c:v>-1.91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Magnet'!$E$12:$E$13</c:f>
              <c:numCache>
                <c:formatCode>0.00</c:formatCode>
                <c:ptCount val="2"/>
                <c:pt idx="0">
                  <c:v>4.7350900525884878</c:v>
                </c:pt>
                <c:pt idx="1">
                  <c:v>0.56821080631061882</c:v>
                </c:pt>
              </c:numCache>
            </c:numRef>
          </c:xVal>
          <c:yVal>
            <c:numRef>
              <c:f>'Create Undulator Magnet'!$F$12:$F$13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Magnet'!$E$15:$E$16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Magnet'!$F$15:$F$16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Magnet'!$E$18:$E$19</c:f>
              <c:numCache>
                <c:formatCode>0.00</c:formatCode>
                <c:ptCount val="2"/>
                <c:pt idx="0">
                  <c:v>0.56821080631061882</c:v>
                </c:pt>
                <c:pt idx="1">
                  <c:v>4.7350900525884878</c:v>
                </c:pt>
              </c:numCache>
            </c:numRef>
          </c:xVal>
          <c:yVal>
            <c:numRef>
              <c:f>'Create Undulator Magnet'!$F$18:$F$19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Magnet'!$E$21:$E$22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Magnet'!$F$21:$F$22</c:f>
              <c:numCache>
                <c:formatCode>0.00</c:formatCode>
                <c:ptCount val="2"/>
                <c:pt idx="0">
                  <c:v>-0.56821080631061838</c:v>
                </c:pt>
                <c:pt idx="1">
                  <c:v>-4.7350900525884878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-3.1850000000000001</c:v>
                </c:pt>
                <c:pt idx="1">
                  <c:v>-2.8816666666666668</c:v>
                </c:pt>
                <c:pt idx="2">
                  <c:v>-2.5783333333333336</c:v>
                </c:pt>
                <c:pt idx="3">
                  <c:v>-2.2750000000000004</c:v>
                </c:pt>
                <c:pt idx="4">
                  <c:v>-1.9716666666666671</c:v>
                </c:pt>
                <c:pt idx="5">
                  <c:v>-1.6683333333333339</c:v>
                </c:pt>
                <c:pt idx="6">
                  <c:v>-1.3650000000000007</c:v>
                </c:pt>
                <c:pt idx="7">
                  <c:v>-1.0616666666666674</c:v>
                </c:pt>
                <c:pt idx="8">
                  <c:v>-0.75833333333333408</c:v>
                </c:pt>
                <c:pt idx="9">
                  <c:v>-0.45500000000000074</c:v>
                </c:pt>
                <c:pt idx="10">
                  <c:v>-0.15166666666666739</c:v>
                </c:pt>
                <c:pt idx="11">
                  <c:v>0.15166666666666595</c:v>
                </c:pt>
                <c:pt idx="12">
                  <c:v>0.45499999999999929</c:v>
                </c:pt>
                <c:pt idx="13">
                  <c:v>0.75833333333333264</c:v>
                </c:pt>
                <c:pt idx="14">
                  <c:v>1.0616666666666661</c:v>
                </c:pt>
                <c:pt idx="15">
                  <c:v>1.3649999999999993</c:v>
                </c:pt>
                <c:pt idx="16">
                  <c:v>1.6683333333333326</c:v>
                </c:pt>
                <c:pt idx="17">
                  <c:v>1.9716666666666658</c:v>
                </c:pt>
                <c:pt idx="18">
                  <c:v>2.274999999999999</c:v>
                </c:pt>
                <c:pt idx="19">
                  <c:v>2.5783333333333323</c:v>
                </c:pt>
                <c:pt idx="20">
                  <c:v>2.8816666666666655</c:v>
                </c:pt>
                <c:pt idx="21">
                  <c:v>3.1849999999999987</c:v>
                </c:pt>
              </c:numCache>
            </c:numRef>
          </c:xVal>
          <c:yVal>
            <c:numRef>
              <c:f>'Create Undulator Magnet'!$I$3:$I$24</c:f>
              <c:numCache>
                <c:formatCode>General</c:formatCode>
                <c:ptCount val="22"/>
                <c:pt idx="0">
                  <c:v>0</c:v>
                </c:pt>
                <c:pt idx="1">
                  <c:v>0.81350282609992342</c:v>
                </c:pt>
                <c:pt idx="2">
                  <c:v>1.1213362614924518</c:v>
                </c:pt>
                <c:pt idx="3">
                  <c:v>1.3367215453473913</c:v>
                </c:pt>
                <c:pt idx="4">
                  <c:v>1.5000250942723297</c:v>
                </c:pt>
                <c:pt idx="5">
                  <c:v>1.6270056521998468</c:v>
                </c:pt>
                <c:pt idx="6">
                  <c:v>1.7257000945490297</c:v>
                </c:pt>
                <c:pt idx="7">
                  <c:v>1.8007652694217409</c:v>
                </c:pt>
                <c:pt idx="8">
                  <c:v>1.8550718611356607</c:v>
                </c:pt>
                <c:pt idx="9">
                  <c:v>1.8904097385466032</c:v>
                </c:pt>
                <c:pt idx="10">
                  <c:v>1.9078332380999898</c:v>
                </c:pt>
                <c:pt idx="11">
                  <c:v>1.9078332380999901</c:v>
                </c:pt>
                <c:pt idx="12">
                  <c:v>1.8904097385466032</c:v>
                </c:pt>
                <c:pt idx="13">
                  <c:v>1.8550718611356609</c:v>
                </c:pt>
                <c:pt idx="14">
                  <c:v>1.8007652694217411</c:v>
                </c:pt>
                <c:pt idx="15">
                  <c:v>1.72570009454903</c:v>
                </c:pt>
                <c:pt idx="16">
                  <c:v>1.6270056521998471</c:v>
                </c:pt>
                <c:pt idx="17">
                  <c:v>1.5000250942723301</c:v>
                </c:pt>
                <c:pt idx="18">
                  <c:v>1.336721545347392</c:v>
                </c:pt>
                <c:pt idx="19">
                  <c:v>1.1213362614924527</c:v>
                </c:pt>
                <c:pt idx="20">
                  <c:v>0.81350282609992486</c:v>
                </c:pt>
                <c:pt idx="21">
                  <c:v>5.6922435760498044E-8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-3.1850000000000001</c:v>
                </c:pt>
                <c:pt idx="1">
                  <c:v>-2.8816666666666668</c:v>
                </c:pt>
                <c:pt idx="2">
                  <c:v>-2.5783333333333336</c:v>
                </c:pt>
                <c:pt idx="3">
                  <c:v>-2.2750000000000004</c:v>
                </c:pt>
                <c:pt idx="4">
                  <c:v>-1.9716666666666671</c:v>
                </c:pt>
                <c:pt idx="5">
                  <c:v>-1.6683333333333339</c:v>
                </c:pt>
                <c:pt idx="6">
                  <c:v>-1.3650000000000007</c:v>
                </c:pt>
                <c:pt idx="7">
                  <c:v>-1.0616666666666674</c:v>
                </c:pt>
                <c:pt idx="8">
                  <c:v>-0.75833333333333408</c:v>
                </c:pt>
                <c:pt idx="9">
                  <c:v>-0.45500000000000074</c:v>
                </c:pt>
                <c:pt idx="10">
                  <c:v>-0.15166666666666739</c:v>
                </c:pt>
                <c:pt idx="11">
                  <c:v>0.15166666666666595</c:v>
                </c:pt>
                <c:pt idx="12">
                  <c:v>0.45499999999999929</c:v>
                </c:pt>
                <c:pt idx="13">
                  <c:v>0.75833333333333264</c:v>
                </c:pt>
                <c:pt idx="14">
                  <c:v>1.0616666666666661</c:v>
                </c:pt>
                <c:pt idx="15">
                  <c:v>1.3649999999999993</c:v>
                </c:pt>
                <c:pt idx="16">
                  <c:v>1.6683333333333326</c:v>
                </c:pt>
                <c:pt idx="17">
                  <c:v>1.9716666666666658</c:v>
                </c:pt>
                <c:pt idx="18">
                  <c:v>2.274999999999999</c:v>
                </c:pt>
                <c:pt idx="19">
                  <c:v>2.5783333333333323</c:v>
                </c:pt>
                <c:pt idx="20">
                  <c:v>2.8816666666666655</c:v>
                </c:pt>
                <c:pt idx="21">
                  <c:v>3.1849999999999987</c:v>
                </c:pt>
              </c:numCache>
            </c:numRef>
          </c:xVal>
          <c:yVal>
            <c:numRef>
              <c:f>'Create Undulator Magnet'!$J$3:$J$24</c:f>
              <c:numCache>
                <c:formatCode>General</c:formatCode>
                <c:ptCount val="22"/>
                <c:pt idx="0">
                  <c:v>0</c:v>
                </c:pt>
                <c:pt idx="1">
                  <c:v>-0.81350282609992342</c:v>
                </c:pt>
                <c:pt idx="2">
                  <c:v>-1.1213362614924518</c:v>
                </c:pt>
                <c:pt idx="3">
                  <c:v>-1.3367215453473913</c:v>
                </c:pt>
                <c:pt idx="4">
                  <c:v>-1.5000250942723297</c:v>
                </c:pt>
                <c:pt idx="5">
                  <c:v>-1.6270056521998468</c:v>
                </c:pt>
                <c:pt idx="6">
                  <c:v>-1.7257000945490297</c:v>
                </c:pt>
                <c:pt idx="7">
                  <c:v>-1.8007652694217409</c:v>
                </c:pt>
                <c:pt idx="8">
                  <c:v>-1.8550718611356607</c:v>
                </c:pt>
                <c:pt idx="9">
                  <c:v>-1.8904097385466032</c:v>
                </c:pt>
                <c:pt idx="10">
                  <c:v>-1.9078332380999898</c:v>
                </c:pt>
                <c:pt idx="11">
                  <c:v>-1.9078332380999901</c:v>
                </c:pt>
                <c:pt idx="12">
                  <c:v>-1.8904097385466032</c:v>
                </c:pt>
                <c:pt idx="13">
                  <c:v>-1.8550718611356609</c:v>
                </c:pt>
                <c:pt idx="14">
                  <c:v>-1.8007652694217411</c:v>
                </c:pt>
                <c:pt idx="15">
                  <c:v>-1.72570009454903</c:v>
                </c:pt>
                <c:pt idx="16">
                  <c:v>-1.6270056521998471</c:v>
                </c:pt>
                <c:pt idx="17">
                  <c:v>-1.5000250942723301</c:v>
                </c:pt>
                <c:pt idx="18">
                  <c:v>-1.336721545347392</c:v>
                </c:pt>
                <c:pt idx="19">
                  <c:v>-1.1213362614924527</c:v>
                </c:pt>
                <c:pt idx="20">
                  <c:v>-0.81350282609992486</c:v>
                </c:pt>
                <c:pt idx="21">
                  <c:v>-5.6922435760498044E-8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12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  <c:max val="12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Magnet'!$N$4:$N$18</c:f>
              <c:numCache>
                <c:formatCode>General</c:formatCode>
                <c:ptCount val="15"/>
                <c:pt idx="0">
                  <c:v>-2.75</c:v>
                </c:pt>
                <c:pt idx="1">
                  <c:v>2.75</c:v>
                </c:pt>
                <c:pt idx="2">
                  <c:v>11.25</c:v>
                </c:pt>
                <c:pt idx="3">
                  <c:v>11.25</c:v>
                </c:pt>
                <c:pt idx="4">
                  <c:v>8.5</c:v>
                </c:pt>
                <c:pt idx="5">
                  <c:v>11.25</c:v>
                </c:pt>
                <c:pt idx="6">
                  <c:v>11.25</c:v>
                </c:pt>
                <c:pt idx="7">
                  <c:v>10.75</c:v>
                </c:pt>
                <c:pt idx="8">
                  <c:v>-10.25</c:v>
                </c:pt>
                <c:pt idx="9">
                  <c:v>-10.75</c:v>
                </c:pt>
                <c:pt idx="10">
                  <c:v>-10.75</c:v>
                </c:pt>
                <c:pt idx="11">
                  <c:v>-8</c:v>
                </c:pt>
                <c:pt idx="12">
                  <c:v>-10.75</c:v>
                </c:pt>
                <c:pt idx="13">
                  <c:v>-10.75</c:v>
                </c:pt>
                <c:pt idx="14">
                  <c:v>-2.75</c:v>
                </c:pt>
              </c:numCache>
            </c:numRef>
          </c:xVal>
          <c:yVal>
            <c:numRef>
              <c:f>'Create Undulator Magnet'!$O$4:$O$18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9.5</c:v>
                </c:pt>
                <c:pt idx="3">
                  <c:v>15.75</c:v>
                </c:pt>
                <c:pt idx="4">
                  <c:v>18.5</c:v>
                </c:pt>
                <c:pt idx="5">
                  <c:v>21.25</c:v>
                </c:pt>
                <c:pt idx="6">
                  <c:v>24.5</c:v>
                </c:pt>
                <c:pt idx="7">
                  <c:v>25</c:v>
                </c:pt>
                <c:pt idx="8">
                  <c:v>25</c:v>
                </c:pt>
                <c:pt idx="9">
                  <c:v>24.5</c:v>
                </c:pt>
                <c:pt idx="10">
                  <c:v>21.25</c:v>
                </c:pt>
                <c:pt idx="11">
                  <c:v>18.5</c:v>
                </c:pt>
                <c:pt idx="12">
                  <c:v>15.75</c:v>
                </c:pt>
                <c:pt idx="13">
                  <c:v>9.5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Magnet'!$P$4:$P$18</c:f>
              <c:numCache>
                <c:formatCode>General</c:formatCode>
                <c:ptCount val="15"/>
                <c:pt idx="0">
                  <c:v>-2.9464285714285712</c:v>
                </c:pt>
                <c:pt idx="1">
                  <c:v>2.9464285714285712</c:v>
                </c:pt>
                <c:pt idx="2">
                  <c:v>12.053571428571429</c:v>
                </c:pt>
                <c:pt idx="3">
                  <c:v>12.053571428571429</c:v>
                </c:pt>
                <c:pt idx="4">
                  <c:v>9.1071428571428577</c:v>
                </c:pt>
                <c:pt idx="5">
                  <c:v>12.053571428571429</c:v>
                </c:pt>
                <c:pt idx="6">
                  <c:v>12.053571428571429</c:v>
                </c:pt>
                <c:pt idx="7">
                  <c:v>11.517857142857142</c:v>
                </c:pt>
                <c:pt idx="8">
                  <c:v>-10.982142857142858</c:v>
                </c:pt>
                <c:pt idx="9">
                  <c:v>-11.517857142857142</c:v>
                </c:pt>
                <c:pt idx="10">
                  <c:v>-11.517857142857142</c:v>
                </c:pt>
                <c:pt idx="11">
                  <c:v>-8.5714285714285712</c:v>
                </c:pt>
                <c:pt idx="12">
                  <c:v>-11.517857142857142</c:v>
                </c:pt>
                <c:pt idx="13">
                  <c:v>-11.517857142857142</c:v>
                </c:pt>
                <c:pt idx="14">
                  <c:v>-2.9464285714285712</c:v>
                </c:pt>
              </c:numCache>
            </c:numRef>
          </c:xVal>
          <c:yVal>
            <c:numRef>
              <c:f>'Create Undulator Magnet'!$Q$4:$Q$18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10.178571428571429</c:v>
                </c:pt>
                <c:pt idx="3">
                  <c:v>16.875</c:v>
                </c:pt>
                <c:pt idx="4">
                  <c:v>19.821428571428569</c:v>
                </c:pt>
                <c:pt idx="5">
                  <c:v>22.767857142857142</c:v>
                </c:pt>
                <c:pt idx="6">
                  <c:v>26.25</c:v>
                </c:pt>
                <c:pt idx="7">
                  <c:v>26.785714285714285</c:v>
                </c:pt>
                <c:pt idx="8">
                  <c:v>26.785714285714285</c:v>
                </c:pt>
                <c:pt idx="9">
                  <c:v>26.25</c:v>
                </c:pt>
                <c:pt idx="10">
                  <c:v>22.767857142857142</c:v>
                </c:pt>
                <c:pt idx="11">
                  <c:v>19.821428571428569</c:v>
                </c:pt>
                <c:pt idx="12">
                  <c:v>16.875</c:v>
                </c:pt>
                <c:pt idx="13">
                  <c:v>10.178571428571429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8.png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9525</xdr:colOff>
      <xdr:row>1</xdr:row>
      <xdr:rowOff>19050</xdr:rowOff>
    </xdr:from>
    <xdr:to>
      <xdr:col>39</xdr:col>
      <xdr:colOff>95250</xdr:colOff>
      <xdr:row>37</xdr:row>
      <xdr:rowOff>106905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83225" y="3714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41128</xdr:colOff>
      <xdr:row>2</xdr:row>
      <xdr:rowOff>8572</xdr:rowOff>
    </xdr:from>
    <xdr:to>
      <xdr:col>21</xdr:col>
      <xdr:colOff>606573</xdr:colOff>
      <xdr:row>26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660253</xdr:colOff>
      <xdr:row>2</xdr:row>
      <xdr:rowOff>8572</xdr:rowOff>
    </xdr:from>
    <xdr:to>
      <xdr:col>34</xdr:col>
      <xdr:colOff>397023</xdr:colOff>
      <xdr:row>26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47626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481893"/>
          <a:ext cx="3352490" cy="5281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2598</xdr:colOff>
      <xdr:row>1</xdr:row>
      <xdr:rowOff>2598</xdr:rowOff>
    </xdr:from>
    <xdr:to>
      <xdr:col>11</xdr:col>
      <xdr:colOff>199398</xdr:colOff>
      <xdr:row>24</xdr:row>
      <xdr:rowOff>132723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2598</xdr:colOff>
      <xdr:row>1</xdr:row>
      <xdr:rowOff>2598</xdr:rowOff>
    </xdr:from>
    <xdr:to>
      <xdr:col>19</xdr:col>
      <xdr:colOff>199398</xdr:colOff>
      <xdr:row>24</xdr:row>
      <xdr:rowOff>132723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25</xdr:row>
      <xdr:rowOff>6705</xdr:rowOff>
    </xdr:from>
    <xdr:to>
      <xdr:col>19</xdr:col>
      <xdr:colOff>228600</xdr:colOff>
      <xdr:row>38</xdr:row>
      <xdr:rowOff>123825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57151</xdr:colOff>
      <xdr:row>1</xdr:row>
      <xdr:rowOff>76200</xdr:rowOff>
    </xdr:from>
    <xdr:to>
      <xdr:col>19</xdr:col>
      <xdr:colOff>142875</xdr:colOff>
      <xdr:row>11</xdr:row>
      <xdr:rowOff>152400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104775</xdr:colOff>
      <xdr:row>17</xdr:row>
      <xdr:rowOff>13892</xdr:rowOff>
    </xdr:from>
    <xdr:to>
      <xdr:col>3</xdr:col>
      <xdr:colOff>1466851</xdr:colOff>
      <xdr:row>19</xdr:row>
      <xdr:rowOff>186050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67300" y="32142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E41" sqref="E41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7.75" x14ac:dyDescent="0.4">
      <c r="A1" s="61" t="s">
        <v>29</v>
      </c>
      <c r="B1" s="62"/>
      <c r="C1" s="62"/>
      <c r="D1" s="62"/>
      <c r="E1" s="62"/>
      <c r="F1" s="62"/>
      <c r="G1" s="62"/>
      <c r="H1" s="62"/>
      <c r="I1" s="63"/>
      <c r="J1" s="13"/>
      <c r="K1" s="61" t="s">
        <v>38</v>
      </c>
      <c r="L1" s="62"/>
      <c r="M1" s="62"/>
      <c r="N1" s="62"/>
      <c r="O1" s="62"/>
      <c r="P1" s="62"/>
      <c r="Q1" s="62"/>
      <c r="R1" s="62"/>
      <c r="S1" s="63"/>
      <c r="T1" s="13"/>
    </row>
    <row r="2" spans="1:20" x14ac:dyDescent="0.2">
      <c r="A2" s="14"/>
      <c r="B2" s="15"/>
      <c r="C2" s="15"/>
      <c r="D2" s="15"/>
      <c r="E2" s="15"/>
      <c r="F2" s="15"/>
      <c r="G2" s="15"/>
      <c r="H2" s="15"/>
      <c r="I2" s="16"/>
      <c r="K2" s="14"/>
      <c r="L2" s="15"/>
      <c r="M2" s="15"/>
      <c r="N2" s="15"/>
      <c r="O2" s="15"/>
      <c r="P2" s="15"/>
      <c r="Q2" s="15"/>
      <c r="R2" s="15"/>
      <c r="S2" s="16"/>
    </row>
    <row r="3" spans="1:20" ht="15.75" x14ac:dyDescent="0.25">
      <c r="A3" s="14"/>
      <c r="B3" s="15"/>
      <c r="C3" s="15"/>
      <c r="D3" s="11" t="s">
        <v>30</v>
      </c>
      <c r="E3" s="57">
        <v>2.4</v>
      </c>
      <c r="F3" s="57"/>
      <c r="G3" s="15"/>
      <c r="H3" s="15"/>
      <c r="I3" s="16"/>
      <c r="K3" s="14"/>
      <c r="L3" s="15"/>
      <c r="M3" s="15"/>
      <c r="N3" s="11" t="s">
        <v>30</v>
      </c>
      <c r="O3" s="57">
        <v>2.4</v>
      </c>
      <c r="P3" s="57"/>
      <c r="Q3" s="15"/>
      <c r="R3" s="15"/>
      <c r="S3" s="16"/>
    </row>
    <row r="4" spans="1:20" ht="15.75" x14ac:dyDescent="0.25">
      <c r="A4" s="14"/>
      <c r="B4" s="15"/>
      <c r="C4" s="15"/>
      <c r="D4" s="12" t="s">
        <v>31</v>
      </c>
      <c r="E4" s="58">
        <f xml:space="preserve"> ROUNDUP((-0.1034*(E3/2)^3 + 0.7783*(E3/2)^2 + 0.109*(E3/2) + 3.1763)*2,2)</f>
        <v>8.5</v>
      </c>
      <c r="F4" s="58"/>
      <c r="G4" s="15"/>
      <c r="H4" s="15"/>
      <c r="I4" s="16"/>
      <c r="K4" s="14"/>
      <c r="L4" s="15"/>
      <c r="M4" s="15"/>
      <c r="N4" s="12" t="s">
        <v>31</v>
      </c>
      <c r="O4" s="58">
        <f xml:space="preserve"> ROUNDUP((-0.00008*(O3/2)^3 + 0.0184*(O3/2)^2 - 0.00008*(O3/2) + 11.542)*2,2)</f>
        <v>23.14</v>
      </c>
      <c r="P4" s="58"/>
      <c r="Q4" s="15"/>
      <c r="R4" s="15"/>
      <c r="S4" s="16"/>
    </row>
    <row r="5" spans="1:20" ht="15.75" x14ac:dyDescent="0.25">
      <c r="A5" s="14"/>
      <c r="B5" s="15"/>
      <c r="C5" s="15"/>
      <c r="D5" s="12" t="s">
        <v>32</v>
      </c>
      <c r="E5" s="59">
        <f>ROUNDUP((-0.045*(E3/2)^3 + 0.3642*(E3/2)^2 + 0.0265*(E3/2) + 1.9042)*2,2)</f>
        <v>4.7699999999999996</v>
      </c>
      <c r="F5" s="60"/>
      <c r="G5" s="15"/>
      <c r="H5" s="15"/>
      <c r="I5" s="16"/>
      <c r="K5" s="14"/>
      <c r="L5" s="15"/>
      <c r="M5" s="15"/>
      <c r="N5" s="12" t="s">
        <v>32</v>
      </c>
      <c r="O5" s="59">
        <f>ROUNDUP((-0.008*(O3/2)^3 + 0.1233*(O3/2)^2 - 0.0051*(O3/2) + 2.8442)*2,2)</f>
        <v>6.01</v>
      </c>
      <c r="P5" s="60"/>
      <c r="Q5" s="15"/>
      <c r="R5" s="15"/>
      <c r="S5" s="16"/>
    </row>
    <row r="6" spans="1:20" x14ac:dyDescent="0.2">
      <c r="A6" s="14"/>
      <c r="B6" s="15"/>
      <c r="C6" s="15"/>
      <c r="D6" s="17"/>
      <c r="E6" s="15"/>
      <c r="F6" s="15"/>
      <c r="G6" s="15"/>
      <c r="H6" s="15"/>
      <c r="I6" s="16"/>
      <c r="K6" s="14"/>
      <c r="L6" s="15"/>
      <c r="M6" s="15"/>
      <c r="N6" s="17"/>
      <c r="O6" s="15"/>
      <c r="P6" s="15"/>
      <c r="Q6" s="15"/>
      <c r="R6" s="15"/>
      <c r="S6" s="16"/>
    </row>
    <row r="7" spans="1:20" x14ac:dyDescent="0.2">
      <c r="A7" s="18" t="s">
        <v>26</v>
      </c>
      <c r="B7" s="9" t="s">
        <v>27</v>
      </c>
      <c r="C7" s="9" t="s">
        <v>28</v>
      </c>
      <c r="D7" s="15"/>
      <c r="E7" s="15"/>
      <c r="F7" s="15"/>
      <c r="G7" s="15"/>
      <c r="H7" s="15"/>
      <c r="I7" s="16"/>
      <c r="K7" s="18" t="s">
        <v>26</v>
      </c>
      <c r="L7" s="9" t="s">
        <v>27</v>
      </c>
      <c r="M7" s="9" t="s">
        <v>28</v>
      </c>
      <c r="N7" s="15"/>
      <c r="O7" s="15"/>
      <c r="P7" s="15"/>
      <c r="Q7" s="15"/>
      <c r="R7" s="15"/>
      <c r="S7" s="16"/>
    </row>
    <row r="8" spans="1:20" x14ac:dyDescent="0.2">
      <c r="A8" s="19">
        <v>0</v>
      </c>
      <c r="B8" s="10">
        <v>3.1895799999999999</v>
      </c>
      <c r="C8" s="10">
        <v>1.9079600000000001</v>
      </c>
      <c r="D8" s="15"/>
      <c r="E8" s="15"/>
      <c r="F8" s="15"/>
      <c r="G8" s="15"/>
      <c r="H8" s="15"/>
      <c r="I8" s="16"/>
      <c r="K8" s="23">
        <v>0</v>
      </c>
      <c r="L8" s="8">
        <v>11.54238</v>
      </c>
      <c r="M8" s="8">
        <v>2.8438699999999999</v>
      </c>
      <c r="N8" s="15"/>
      <c r="O8" s="15"/>
      <c r="P8" s="15"/>
      <c r="Q8" s="15"/>
      <c r="R8" s="15"/>
      <c r="S8" s="16"/>
    </row>
    <row r="9" spans="1:20" x14ac:dyDescent="0.2">
      <c r="A9" s="19">
        <v>0</v>
      </c>
      <c r="B9" s="10">
        <v>3.1895799999999999</v>
      </c>
      <c r="C9" s="10">
        <v>1.9079600000000001</v>
      </c>
      <c r="D9" s="15"/>
      <c r="E9" s="15"/>
      <c r="F9" s="15"/>
      <c r="G9" s="15"/>
      <c r="H9" s="15"/>
      <c r="I9" s="16"/>
      <c r="K9" s="23">
        <v>0</v>
      </c>
      <c r="L9" s="8">
        <v>11.54238</v>
      </c>
      <c r="M9" s="8">
        <v>2.8438699999999999</v>
      </c>
      <c r="N9" s="15"/>
      <c r="O9" s="15"/>
      <c r="P9" s="15"/>
      <c r="Q9" s="15"/>
      <c r="R9" s="15"/>
      <c r="S9" s="16"/>
    </row>
    <row r="10" spans="1:20" x14ac:dyDescent="0.2">
      <c r="A10" s="19">
        <v>0.1</v>
      </c>
      <c r="B10" s="10">
        <v>3.1982200000000001</v>
      </c>
      <c r="C10" s="10">
        <v>1.91168</v>
      </c>
      <c r="D10" s="15"/>
      <c r="E10" s="15"/>
      <c r="F10" s="15"/>
      <c r="G10" s="15"/>
      <c r="H10" s="15"/>
      <c r="I10" s="16"/>
      <c r="K10" s="23">
        <v>0</v>
      </c>
      <c r="L10" s="8">
        <v>11.54238</v>
      </c>
      <c r="M10" s="8">
        <v>2.8438699999999999</v>
      </c>
      <c r="N10" s="15"/>
      <c r="O10" s="15"/>
      <c r="P10" s="15"/>
      <c r="Q10" s="15"/>
      <c r="R10" s="15"/>
      <c r="S10" s="16"/>
    </row>
    <row r="11" spans="1:20" x14ac:dyDescent="0.2">
      <c r="A11" s="19">
        <v>0.2</v>
      </c>
      <c r="B11" s="10">
        <v>3.2240099999999998</v>
      </c>
      <c r="C11" s="10">
        <v>1.9228099999999999</v>
      </c>
      <c r="D11" s="15"/>
      <c r="E11" s="15"/>
      <c r="F11" s="15"/>
      <c r="G11" s="15"/>
      <c r="H11" s="15"/>
      <c r="I11" s="16"/>
      <c r="K11" s="23">
        <v>9.5750000000000002E-2</v>
      </c>
      <c r="L11" s="8">
        <v>11.54255</v>
      </c>
      <c r="M11" s="8">
        <v>2.8449</v>
      </c>
      <c r="N11" s="15"/>
      <c r="O11" s="15"/>
      <c r="P11" s="15"/>
      <c r="Q11" s="15"/>
      <c r="R11" s="15"/>
      <c r="S11" s="16"/>
    </row>
    <row r="12" spans="1:20" x14ac:dyDescent="0.2">
      <c r="A12" s="19">
        <v>0.3</v>
      </c>
      <c r="B12" s="10">
        <v>3.26654</v>
      </c>
      <c r="C12" s="10">
        <v>1.9412100000000001</v>
      </c>
      <c r="D12" s="15"/>
      <c r="E12" s="15"/>
      <c r="F12" s="15"/>
      <c r="G12" s="15"/>
      <c r="H12" s="15"/>
      <c r="I12" s="16"/>
      <c r="K12" s="23">
        <v>0.1915</v>
      </c>
      <c r="L12" s="8">
        <v>11.543049999999999</v>
      </c>
      <c r="M12" s="8">
        <v>2.8479899999999998</v>
      </c>
      <c r="N12" s="15"/>
      <c r="O12" s="15"/>
      <c r="P12" s="15"/>
      <c r="Q12" s="15"/>
      <c r="R12" s="15"/>
      <c r="S12" s="16"/>
    </row>
    <row r="13" spans="1:20" x14ac:dyDescent="0.2">
      <c r="A13" s="19">
        <v>0.4</v>
      </c>
      <c r="B13" s="10">
        <v>3.32517</v>
      </c>
      <c r="C13" s="10">
        <v>1.96669</v>
      </c>
      <c r="D13" s="15"/>
      <c r="E13" s="15"/>
      <c r="F13" s="15"/>
      <c r="G13" s="15"/>
      <c r="H13" s="15"/>
      <c r="I13" s="16"/>
      <c r="K13" s="23">
        <v>0.28725000000000001</v>
      </c>
      <c r="L13" s="8">
        <v>11.543889999999999</v>
      </c>
      <c r="M13" s="8">
        <v>2.8531399999999998</v>
      </c>
      <c r="N13" s="15"/>
      <c r="O13" s="15"/>
      <c r="P13" s="15"/>
      <c r="Q13" s="15"/>
      <c r="R13" s="15"/>
      <c r="S13" s="16"/>
    </row>
    <row r="14" spans="1:20" x14ac:dyDescent="0.2">
      <c r="A14" s="19">
        <v>0.5</v>
      </c>
      <c r="B14" s="10">
        <v>3.39906</v>
      </c>
      <c r="C14" s="10">
        <v>1.9989600000000001</v>
      </c>
      <c r="D14" s="15"/>
      <c r="E14" s="15"/>
      <c r="F14" s="15"/>
      <c r="G14" s="15"/>
      <c r="H14" s="15"/>
      <c r="I14" s="16"/>
      <c r="K14" s="23">
        <v>0.38300000000000001</v>
      </c>
      <c r="L14" s="8">
        <v>11.545059999999999</v>
      </c>
      <c r="M14" s="8">
        <v>2.8603299999999998</v>
      </c>
      <c r="N14" s="15"/>
      <c r="O14" s="15"/>
      <c r="P14" s="15"/>
      <c r="Q14" s="15"/>
      <c r="R14" s="15"/>
      <c r="S14" s="16"/>
    </row>
    <row r="15" spans="1:20" x14ac:dyDescent="0.2">
      <c r="A15" s="19">
        <v>0.6</v>
      </c>
      <c r="B15" s="10">
        <v>3.48725</v>
      </c>
      <c r="C15" s="10">
        <v>2.0377200000000002</v>
      </c>
      <c r="D15" s="15"/>
      <c r="E15" s="15"/>
      <c r="F15" s="15"/>
      <c r="G15" s="15"/>
      <c r="H15" s="15"/>
      <c r="I15" s="16"/>
      <c r="K15" s="23">
        <v>0.47875000000000001</v>
      </c>
      <c r="L15" s="8">
        <v>11.546569999999999</v>
      </c>
      <c r="M15" s="8">
        <v>2.8695499999999998</v>
      </c>
      <c r="N15" s="15"/>
      <c r="O15" s="15"/>
      <c r="P15" s="15"/>
      <c r="Q15" s="15"/>
      <c r="R15" s="15"/>
      <c r="S15" s="16"/>
    </row>
    <row r="16" spans="1:20" x14ac:dyDescent="0.2">
      <c r="A16" s="19">
        <v>0.7</v>
      </c>
      <c r="B16" s="10">
        <v>3.5886800000000001</v>
      </c>
      <c r="C16" s="10">
        <v>2.0825900000000002</v>
      </c>
      <c r="D16" s="15"/>
      <c r="E16" s="15"/>
      <c r="F16" s="15"/>
      <c r="G16" s="15"/>
      <c r="H16" s="15"/>
      <c r="I16" s="16"/>
      <c r="K16" s="23">
        <v>0.57450000000000001</v>
      </c>
      <c r="L16" s="8">
        <v>11.548410000000001</v>
      </c>
      <c r="M16" s="8">
        <v>2.8807800000000001</v>
      </c>
      <c r="N16" s="15"/>
      <c r="O16" s="15"/>
      <c r="P16" s="15"/>
      <c r="Q16" s="15"/>
      <c r="R16" s="15"/>
      <c r="S16" s="16"/>
    </row>
    <row r="17" spans="1:19" x14ac:dyDescent="0.2">
      <c r="A17" s="19">
        <v>0.8</v>
      </c>
      <c r="B17" s="10">
        <v>3.7022699999999999</v>
      </c>
      <c r="C17" s="10">
        <v>2.1331899999999999</v>
      </c>
      <c r="D17" s="15"/>
      <c r="E17" s="15"/>
      <c r="F17" s="15"/>
      <c r="G17" s="15"/>
      <c r="H17" s="15"/>
      <c r="I17" s="16"/>
      <c r="K17" s="23">
        <v>0.67025000000000001</v>
      </c>
      <c r="L17" s="8">
        <v>11.55059</v>
      </c>
      <c r="M17" s="8">
        <v>2.8939900000000001</v>
      </c>
      <c r="N17" s="15"/>
      <c r="O17" s="15"/>
      <c r="P17" s="15"/>
      <c r="Q17" s="15"/>
      <c r="R17" s="15"/>
      <c r="S17" s="16"/>
    </row>
    <row r="18" spans="1:19" x14ac:dyDescent="0.2">
      <c r="A18" s="19">
        <v>0.9</v>
      </c>
      <c r="B18" s="10">
        <v>3.8269199999999999</v>
      </c>
      <c r="C18" s="10">
        <v>2.18913</v>
      </c>
      <c r="D18" s="15"/>
      <c r="E18" s="15"/>
      <c r="F18" s="15"/>
      <c r="G18" s="15"/>
      <c r="H18" s="15"/>
      <c r="I18" s="16"/>
      <c r="K18" s="23">
        <v>0.76600000000000001</v>
      </c>
      <c r="L18" s="8">
        <v>11.553089999999999</v>
      </c>
      <c r="M18" s="8">
        <v>2.90916</v>
      </c>
      <c r="N18" s="15"/>
      <c r="O18" s="15"/>
      <c r="P18" s="15"/>
      <c r="Q18" s="15"/>
      <c r="R18" s="15"/>
      <c r="S18" s="16"/>
    </row>
    <row r="19" spans="1:19" x14ac:dyDescent="0.2">
      <c r="A19" s="19">
        <v>1</v>
      </c>
      <c r="B19" s="10">
        <v>3.9615999999999998</v>
      </c>
      <c r="C19" s="10">
        <v>2.25</v>
      </c>
      <c r="D19" s="15"/>
      <c r="E19" s="15"/>
      <c r="F19" s="15"/>
      <c r="G19" s="15"/>
      <c r="H19" s="15"/>
      <c r="I19" s="16"/>
      <c r="K19" s="23">
        <v>0.86175000000000002</v>
      </c>
      <c r="L19" s="8">
        <v>11.55594</v>
      </c>
      <c r="M19" s="8">
        <v>2.92625</v>
      </c>
      <c r="N19" s="15"/>
      <c r="O19" s="15"/>
      <c r="P19" s="15"/>
      <c r="Q19" s="15"/>
      <c r="R19" s="15"/>
      <c r="S19" s="16"/>
    </row>
    <row r="20" spans="1:19" x14ac:dyDescent="0.2">
      <c r="A20" s="19">
        <v>1</v>
      </c>
      <c r="B20" s="10">
        <v>3.9615999999999998</v>
      </c>
      <c r="C20" s="10">
        <v>2.25</v>
      </c>
      <c r="D20" s="15"/>
      <c r="E20" s="15"/>
      <c r="F20" s="15"/>
      <c r="G20" s="15"/>
      <c r="H20" s="15"/>
      <c r="I20" s="16"/>
      <c r="K20" s="23">
        <v>0.95750000000000002</v>
      </c>
      <c r="L20" s="8">
        <v>11.55912</v>
      </c>
      <c r="M20" s="8">
        <v>2.9452500000000001</v>
      </c>
      <c r="N20" s="15"/>
      <c r="O20" s="15"/>
      <c r="P20" s="15"/>
      <c r="Q20" s="15"/>
      <c r="R20" s="15"/>
      <c r="S20" s="16"/>
    </row>
    <row r="21" spans="1:19" x14ac:dyDescent="0.2">
      <c r="A21" s="19">
        <v>1.1000000000000001</v>
      </c>
      <c r="B21" s="10">
        <v>4.1053199999999999</v>
      </c>
      <c r="C21" s="10">
        <v>2.31542</v>
      </c>
      <c r="D21" s="15"/>
      <c r="E21" s="15"/>
      <c r="F21" s="15"/>
      <c r="G21" s="15"/>
      <c r="H21" s="15"/>
      <c r="I21" s="16"/>
      <c r="K21" s="23">
        <v>1.05325</v>
      </c>
      <c r="L21" s="8">
        <v>11.56263</v>
      </c>
      <c r="M21" s="8">
        <v>2.9661</v>
      </c>
      <c r="N21" s="15"/>
      <c r="O21" s="15"/>
      <c r="P21" s="15"/>
      <c r="Q21" s="15"/>
      <c r="R21" s="15"/>
      <c r="S21" s="16"/>
    </row>
    <row r="22" spans="1:19" x14ac:dyDescent="0.2">
      <c r="A22" s="19">
        <v>1.2</v>
      </c>
      <c r="B22" s="10">
        <v>4.2571700000000003</v>
      </c>
      <c r="C22" s="10">
        <v>2.3850099999999999</v>
      </c>
      <c r="D22" s="15"/>
      <c r="E22" s="15"/>
      <c r="F22" s="15"/>
      <c r="G22" s="15"/>
      <c r="H22" s="15"/>
      <c r="I22" s="16"/>
      <c r="K22" s="23">
        <v>1.149</v>
      </c>
      <c r="L22" s="8">
        <v>11.566470000000001</v>
      </c>
      <c r="M22" s="8">
        <v>2.9887600000000001</v>
      </c>
      <c r="N22" s="15"/>
      <c r="O22" s="15"/>
      <c r="P22" s="15"/>
      <c r="Q22" s="15"/>
      <c r="R22" s="15"/>
      <c r="S22" s="16"/>
    </row>
    <row r="23" spans="1:19" x14ac:dyDescent="0.2">
      <c r="A23" s="19">
        <v>1.3</v>
      </c>
      <c r="B23" s="10">
        <v>4.4162999999999997</v>
      </c>
      <c r="C23" s="10">
        <v>2.4584199999999998</v>
      </c>
      <c r="D23" s="15"/>
      <c r="E23" s="15"/>
      <c r="F23" s="15"/>
      <c r="G23" s="15"/>
      <c r="H23" s="15"/>
      <c r="I23" s="16"/>
      <c r="K23" s="23">
        <v>1.24475</v>
      </c>
      <c r="L23" s="8">
        <v>11.570650000000001</v>
      </c>
      <c r="M23" s="8">
        <v>3.0132099999999999</v>
      </c>
      <c r="N23" s="15"/>
      <c r="O23" s="15"/>
      <c r="P23" s="15"/>
      <c r="Q23" s="15"/>
      <c r="R23" s="15"/>
      <c r="S23" s="16"/>
    </row>
    <row r="24" spans="1:19" x14ac:dyDescent="0.2">
      <c r="A24" s="19">
        <v>1.4</v>
      </c>
      <c r="B24" s="10">
        <v>4.5819599999999996</v>
      </c>
      <c r="C24" s="10">
        <v>2.53531</v>
      </c>
      <c r="D24" s="15"/>
      <c r="E24" s="15"/>
      <c r="F24" s="15"/>
      <c r="G24" s="15"/>
      <c r="H24" s="15"/>
      <c r="I24" s="16"/>
      <c r="K24" s="23">
        <v>1.3405</v>
      </c>
      <c r="L24" s="8">
        <v>11.575150000000001</v>
      </c>
      <c r="M24" s="8">
        <v>3.03939</v>
      </c>
      <c r="N24" s="15"/>
      <c r="O24" s="15"/>
      <c r="P24" s="15"/>
      <c r="Q24" s="15"/>
      <c r="R24" s="15"/>
      <c r="S24" s="16"/>
    </row>
    <row r="25" spans="1:19" x14ac:dyDescent="0.2">
      <c r="A25" s="19">
        <v>1.5</v>
      </c>
      <c r="B25" s="10">
        <v>4.7534599999999996</v>
      </c>
      <c r="C25" s="10">
        <v>2.6153900000000001</v>
      </c>
      <c r="D25" s="15"/>
      <c r="E25" s="15"/>
      <c r="F25" s="15"/>
      <c r="G25" s="15"/>
      <c r="H25" s="15"/>
      <c r="I25" s="16"/>
      <c r="K25" s="23">
        <v>1.43625</v>
      </c>
      <c r="L25" s="8">
        <v>11.57999</v>
      </c>
      <c r="M25" s="8">
        <v>3.0672600000000001</v>
      </c>
      <c r="N25" s="15"/>
      <c r="O25" s="15"/>
      <c r="P25" s="15"/>
      <c r="Q25" s="15"/>
      <c r="R25" s="15"/>
      <c r="S25" s="16"/>
    </row>
    <row r="26" spans="1:19" x14ac:dyDescent="0.2">
      <c r="A26" s="19">
        <v>1.5989</v>
      </c>
      <c r="B26" s="10">
        <v>4.9282300000000001</v>
      </c>
      <c r="C26" s="10">
        <v>2.6974300000000002</v>
      </c>
      <c r="D26" s="15"/>
      <c r="E26" s="15"/>
      <c r="F26" s="15"/>
      <c r="G26" s="15"/>
      <c r="H26" s="15"/>
      <c r="I26" s="16"/>
      <c r="K26" s="23">
        <v>1.532</v>
      </c>
      <c r="L26" s="8">
        <v>11.58517</v>
      </c>
      <c r="M26" s="8">
        <v>3.0967799999999999</v>
      </c>
      <c r="N26" s="15"/>
      <c r="O26" s="15"/>
      <c r="P26" s="15"/>
      <c r="Q26" s="15"/>
      <c r="R26" s="15"/>
      <c r="S26" s="16"/>
    </row>
    <row r="27" spans="1:19" x14ac:dyDescent="0.2">
      <c r="A27" s="19">
        <v>1.6978</v>
      </c>
      <c r="B27" s="10">
        <v>5.1075900000000001</v>
      </c>
      <c r="C27" s="10">
        <v>2.7820499999999999</v>
      </c>
      <c r="D27" s="15"/>
      <c r="E27" s="15"/>
      <c r="F27" s="15"/>
      <c r="G27" s="15"/>
      <c r="H27" s="15"/>
      <c r="I27" s="16"/>
      <c r="K27" s="23">
        <v>1.62775</v>
      </c>
      <c r="L27" s="8">
        <v>11.590669999999999</v>
      </c>
      <c r="M27" s="8">
        <v>3.1278899999999998</v>
      </c>
      <c r="N27" s="15"/>
      <c r="O27" s="15"/>
      <c r="P27" s="15"/>
      <c r="Q27" s="15"/>
      <c r="R27" s="15"/>
      <c r="S27" s="16"/>
    </row>
    <row r="28" spans="1:19" x14ac:dyDescent="0.2">
      <c r="A28" s="19">
        <v>1.7967</v>
      </c>
      <c r="B28" s="10">
        <v>5.29108</v>
      </c>
      <c r="C28" s="10">
        <v>2.86903</v>
      </c>
      <c r="D28" s="15"/>
      <c r="E28" s="15"/>
      <c r="F28" s="15"/>
      <c r="G28" s="15"/>
      <c r="H28" s="15"/>
      <c r="I28" s="16"/>
      <c r="K28" s="23">
        <v>1.7235</v>
      </c>
      <c r="L28" s="8">
        <v>11.596500000000001</v>
      </c>
      <c r="M28" s="8">
        <v>3.1605500000000002</v>
      </c>
      <c r="N28" s="15"/>
      <c r="O28" s="15"/>
      <c r="P28" s="15"/>
      <c r="Q28" s="15"/>
      <c r="R28" s="15"/>
      <c r="S28" s="16"/>
    </row>
    <row r="29" spans="1:19" x14ac:dyDescent="0.2">
      <c r="A29" s="19">
        <v>1.8956</v>
      </c>
      <c r="B29" s="10">
        <v>5.4782799999999998</v>
      </c>
      <c r="C29" s="10">
        <v>2.9581499999999998</v>
      </c>
      <c r="D29" s="15"/>
      <c r="E29" s="15"/>
      <c r="F29" s="15"/>
      <c r="G29" s="15"/>
      <c r="H29" s="15"/>
      <c r="I29" s="16"/>
      <c r="K29" s="23">
        <v>1.81925</v>
      </c>
      <c r="L29" s="8">
        <v>11.60267</v>
      </c>
      <c r="M29" s="8">
        <v>3.1947199999999998</v>
      </c>
      <c r="N29" s="15"/>
      <c r="O29" s="15"/>
      <c r="P29" s="15"/>
      <c r="Q29" s="15"/>
      <c r="R29" s="15"/>
      <c r="S29" s="16"/>
    </row>
    <row r="30" spans="1:19" x14ac:dyDescent="0.2">
      <c r="A30" s="19">
        <v>1.9944999999999999</v>
      </c>
      <c r="B30" s="10">
        <v>5.6688299999999998</v>
      </c>
      <c r="C30" s="10">
        <v>3.0492400000000002</v>
      </c>
      <c r="D30" s="15"/>
      <c r="E30" s="15"/>
      <c r="F30" s="15"/>
      <c r="G30" s="15"/>
      <c r="H30" s="15"/>
      <c r="I30" s="16"/>
      <c r="K30" s="23">
        <v>1.915</v>
      </c>
      <c r="L30" s="8">
        <v>11.609159999999999</v>
      </c>
      <c r="M30" s="8">
        <v>3.2303500000000001</v>
      </c>
      <c r="N30" s="15"/>
      <c r="O30" s="15"/>
      <c r="P30" s="15"/>
      <c r="Q30" s="15"/>
      <c r="R30" s="15"/>
      <c r="S30" s="16"/>
    </row>
    <row r="31" spans="1:19" x14ac:dyDescent="0.2">
      <c r="A31" s="19">
        <v>2.0933999999999999</v>
      </c>
      <c r="B31" s="10">
        <v>5.8624000000000001</v>
      </c>
      <c r="C31" s="10">
        <v>3.1421100000000002</v>
      </c>
      <c r="D31" s="15"/>
      <c r="E31" s="15"/>
      <c r="F31" s="15"/>
      <c r="G31" s="15"/>
      <c r="H31" s="15"/>
      <c r="I31" s="16"/>
      <c r="K31" s="23">
        <v>2.0150000000000001</v>
      </c>
      <c r="L31" s="8">
        <v>11.616300000000001</v>
      </c>
      <c r="M31" s="8">
        <v>3.26905</v>
      </c>
      <c r="N31" s="15"/>
      <c r="O31" s="15"/>
      <c r="P31" s="15"/>
      <c r="Q31" s="15"/>
      <c r="R31" s="15"/>
      <c r="S31" s="16"/>
    </row>
    <row r="32" spans="1:19" x14ac:dyDescent="0.2">
      <c r="A32" s="19">
        <v>2.1922999999999999</v>
      </c>
      <c r="B32" s="10">
        <v>6.0586900000000004</v>
      </c>
      <c r="C32" s="10">
        <v>3.2366100000000002</v>
      </c>
      <c r="D32" s="15"/>
      <c r="E32" s="15"/>
      <c r="F32" s="15"/>
      <c r="G32" s="15"/>
      <c r="H32" s="15"/>
      <c r="I32" s="16"/>
      <c r="K32" s="23">
        <v>2.1150000000000002</v>
      </c>
      <c r="L32" s="8">
        <v>11.62379</v>
      </c>
      <c r="M32" s="8">
        <v>3.30924</v>
      </c>
      <c r="N32" s="15"/>
      <c r="O32" s="15"/>
      <c r="P32" s="15"/>
      <c r="Q32" s="15"/>
      <c r="R32" s="15"/>
      <c r="S32" s="16"/>
    </row>
    <row r="33" spans="1:19" x14ac:dyDescent="0.2">
      <c r="A33" s="19">
        <v>2.2911999999999999</v>
      </c>
      <c r="B33" s="10">
        <v>6.25746</v>
      </c>
      <c r="C33" s="10">
        <v>3.3326099999999999</v>
      </c>
      <c r="D33" s="15"/>
      <c r="E33" s="15"/>
      <c r="F33" s="15"/>
      <c r="G33" s="15"/>
      <c r="H33" s="15"/>
      <c r="I33" s="16"/>
      <c r="K33" s="23">
        <v>2.2149999999999999</v>
      </c>
      <c r="L33" s="8">
        <v>11.631640000000001</v>
      </c>
      <c r="M33" s="8">
        <v>3.3508599999999999</v>
      </c>
      <c r="N33" s="15"/>
      <c r="O33" s="15"/>
      <c r="P33" s="15"/>
      <c r="Q33" s="15"/>
      <c r="R33" s="15"/>
      <c r="S33" s="16"/>
    </row>
    <row r="34" spans="1:19" x14ac:dyDescent="0.2">
      <c r="A34" s="19">
        <v>2.3900999999999999</v>
      </c>
      <c r="B34" s="10">
        <v>6.4584700000000002</v>
      </c>
      <c r="C34" s="10">
        <v>3.42997</v>
      </c>
      <c r="D34" s="15"/>
      <c r="E34" s="15"/>
      <c r="F34" s="15"/>
      <c r="G34" s="15"/>
      <c r="H34" s="15"/>
      <c r="I34" s="16"/>
      <c r="K34" s="23">
        <v>2.3149999999999999</v>
      </c>
      <c r="L34" s="8">
        <v>11.639849999999999</v>
      </c>
      <c r="M34" s="8">
        <v>3.3938600000000001</v>
      </c>
      <c r="N34" s="15"/>
      <c r="O34" s="15"/>
      <c r="P34" s="15"/>
      <c r="Q34" s="15"/>
      <c r="R34" s="15"/>
      <c r="S34" s="16"/>
    </row>
    <row r="35" spans="1:19" x14ac:dyDescent="0.2">
      <c r="A35" s="19">
        <v>2.4889999999999999</v>
      </c>
      <c r="B35" s="10">
        <v>6.66153</v>
      </c>
      <c r="C35" s="10">
        <v>3.5285899999999999</v>
      </c>
      <c r="D35" s="15"/>
      <c r="E35" s="15"/>
      <c r="F35" s="15"/>
      <c r="G35" s="15"/>
      <c r="H35" s="15"/>
      <c r="I35" s="16"/>
      <c r="K35" s="23">
        <v>2.375</v>
      </c>
      <c r="L35" s="8">
        <v>11.64494</v>
      </c>
      <c r="M35" s="8">
        <v>3.4202900000000001</v>
      </c>
      <c r="N35" s="15"/>
      <c r="O35" s="15"/>
      <c r="P35" s="15"/>
      <c r="Q35" s="15"/>
      <c r="R35" s="15"/>
      <c r="S35" s="16"/>
    </row>
    <row r="36" spans="1:19" x14ac:dyDescent="0.2">
      <c r="A36" s="19">
        <v>2.5878999999999999</v>
      </c>
      <c r="B36" s="10">
        <v>6.8664399999999999</v>
      </c>
      <c r="C36" s="10">
        <v>3.6283699999999999</v>
      </c>
      <c r="D36" s="15"/>
      <c r="E36" s="15"/>
      <c r="F36" s="15"/>
      <c r="G36" s="15"/>
      <c r="H36" s="15"/>
      <c r="I36" s="16"/>
      <c r="K36" s="23">
        <v>2.375</v>
      </c>
      <c r="L36" s="8">
        <v>11.64494</v>
      </c>
      <c r="M36" s="8">
        <v>3.4202900000000001</v>
      </c>
      <c r="N36" s="15"/>
      <c r="O36" s="15"/>
      <c r="P36" s="15"/>
      <c r="Q36" s="15"/>
      <c r="R36" s="15"/>
      <c r="S36" s="16"/>
    </row>
    <row r="37" spans="1:19" x14ac:dyDescent="0.2">
      <c r="A37" s="19">
        <v>2.6879</v>
      </c>
      <c r="B37" s="10">
        <v>7.0753599999999999</v>
      </c>
      <c r="C37" s="10">
        <v>3.7303299999999999</v>
      </c>
      <c r="D37" s="15"/>
      <c r="E37" s="15"/>
      <c r="F37" s="15"/>
      <c r="G37" s="15"/>
      <c r="H37" s="15"/>
      <c r="I37" s="16"/>
      <c r="K37" s="23">
        <v>2.4750000000000001</v>
      </c>
      <c r="L37" s="8">
        <v>11.65372</v>
      </c>
      <c r="M37" s="8">
        <v>3.4653800000000001</v>
      </c>
      <c r="N37" s="15"/>
      <c r="O37" s="15"/>
      <c r="P37" s="15"/>
      <c r="Q37" s="15"/>
      <c r="R37" s="15"/>
      <c r="S37" s="16"/>
    </row>
    <row r="38" spans="1:19" x14ac:dyDescent="0.2">
      <c r="A38" s="19">
        <v>2.7879</v>
      </c>
      <c r="B38" s="10">
        <v>7.2858700000000001</v>
      </c>
      <c r="C38" s="10">
        <v>3.8332999999999999</v>
      </c>
      <c r="D38" s="15"/>
      <c r="E38" s="15"/>
      <c r="F38" s="15"/>
      <c r="G38" s="15"/>
      <c r="H38" s="15"/>
      <c r="I38" s="16"/>
      <c r="K38" s="23">
        <v>2.4750000000000001</v>
      </c>
      <c r="L38" s="8">
        <v>11.65372</v>
      </c>
      <c r="M38" s="8">
        <v>3.4653800000000001</v>
      </c>
      <c r="N38" s="15"/>
      <c r="O38" s="15"/>
      <c r="P38" s="15"/>
      <c r="Q38" s="15"/>
      <c r="R38" s="15"/>
      <c r="S38" s="16"/>
    </row>
    <row r="39" spans="1:19" x14ac:dyDescent="0.2">
      <c r="A39" s="19">
        <v>2.8879000000000001</v>
      </c>
      <c r="B39" s="10">
        <v>7.4978199999999999</v>
      </c>
      <c r="C39" s="10">
        <v>3.9371800000000001</v>
      </c>
      <c r="D39" s="15"/>
      <c r="E39" s="15"/>
      <c r="F39" s="15"/>
      <c r="G39" s="15"/>
      <c r="H39" s="15"/>
      <c r="I39" s="16"/>
      <c r="K39" s="23">
        <v>2.5750000000000002</v>
      </c>
      <c r="L39" s="8">
        <v>11.662850000000001</v>
      </c>
      <c r="M39" s="8">
        <v>3.51172</v>
      </c>
      <c r="N39" s="15"/>
      <c r="O39" s="15"/>
      <c r="P39" s="15"/>
      <c r="Q39" s="15"/>
      <c r="R39" s="15"/>
      <c r="S39" s="16"/>
    </row>
    <row r="40" spans="1:19" x14ac:dyDescent="0.2">
      <c r="A40" s="19">
        <v>2.9878999999999998</v>
      </c>
      <c r="B40" s="10">
        <v>7.7111200000000002</v>
      </c>
      <c r="C40" s="10">
        <v>4.0419099999999997</v>
      </c>
      <c r="D40" s="15"/>
      <c r="E40" s="15"/>
      <c r="F40" s="15"/>
      <c r="G40" s="15"/>
      <c r="H40" s="15"/>
      <c r="I40" s="16"/>
      <c r="K40" s="23">
        <v>2.665</v>
      </c>
      <c r="L40" s="8">
        <v>11.67137</v>
      </c>
      <c r="M40" s="8">
        <v>3.55444</v>
      </c>
      <c r="N40" s="15"/>
      <c r="O40" s="15"/>
      <c r="P40" s="15"/>
      <c r="Q40" s="15"/>
      <c r="R40" s="15"/>
      <c r="S40" s="16"/>
    </row>
    <row r="41" spans="1:19" x14ac:dyDescent="0.2">
      <c r="A41" s="14"/>
      <c r="B41" s="15"/>
      <c r="C41" s="15"/>
      <c r="D41" s="15"/>
      <c r="E41" s="15"/>
      <c r="F41" s="15"/>
      <c r="G41" s="15"/>
      <c r="H41" s="15"/>
      <c r="I41" s="16"/>
      <c r="K41" s="23">
        <v>2.7549999999999999</v>
      </c>
      <c r="L41" s="8">
        <v>11.68017</v>
      </c>
      <c r="M41" s="8">
        <v>3.5981000000000001</v>
      </c>
      <c r="N41" s="15"/>
      <c r="O41" s="15"/>
      <c r="P41" s="15"/>
      <c r="Q41" s="15"/>
      <c r="R41" s="15"/>
      <c r="S41" s="16"/>
    </row>
    <row r="42" spans="1:19" x14ac:dyDescent="0.2">
      <c r="A42" s="14"/>
      <c r="B42" s="15"/>
      <c r="C42" s="15"/>
      <c r="D42" s="15"/>
      <c r="E42" s="15"/>
      <c r="F42" s="15"/>
      <c r="G42" s="15"/>
      <c r="H42" s="15"/>
      <c r="I42" s="16"/>
      <c r="K42" s="23">
        <v>2.8450000000000002</v>
      </c>
      <c r="L42" s="8">
        <v>11.68927</v>
      </c>
      <c r="M42" s="8">
        <v>3.6426500000000002</v>
      </c>
      <c r="N42" s="15"/>
      <c r="O42" s="15"/>
      <c r="P42" s="15"/>
      <c r="Q42" s="15"/>
      <c r="R42" s="15"/>
      <c r="S42" s="16"/>
    </row>
    <row r="43" spans="1:19" x14ac:dyDescent="0.2">
      <c r="A43" s="14"/>
      <c r="B43" s="15"/>
      <c r="C43" s="15"/>
      <c r="D43" s="15"/>
      <c r="E43" s="15"/>
      <c r="F43" s="15"/>
      <c r="G43" s="15"/>
      <c r="H43" s="15"/>
      <c r="I43" s="16"/>
      <c r="K43" s="23">
        <v>2.9350000000000001</v>
      </c>
      <c r="L43" s="8">
        <v>11.698639999999999</v>
      </c>
      <c r="M43" s="8">
        <v>3.6880799999999998</v>
      </c>
      <c r="N43" s="15"/>
      <c r="O43" s="15"/>
      <c r="P43" s="15"/>
      <c r="Q43" s="15"/>
      <c r="R43" s="15"/>
      <c r="S43" s="16"/>
    </row>
    <row r="44" spans="1:19" ht="13.5" thickBot="1" x14ac:dyDescent="0.25">
      <c r="A44" s="20"/>
      <c r="B44" s="21"/>
      <c r="C44" s="21"/>
      <c r="D44" s="21"/>
      <c r="E44" s="21"/>
      <c r="F44" s="21"/>
      <c r="G44" s="21"/>
      <c r="H44" s="21"/>
      <c r="I44" s="22"/>
      <c r="K44" s="20"/>
      <c r="L44" s="21"/>
      <c r="M44" s="21"/>
      <c r="N44" s="21"/>
      <c r="O44" s="21"/>
      <c r="P44" s="21"/>
      <c r="Q44" s="21"/>
      <c r="R44" s="21"/>
      <c r="S44" s="22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6"/>
  <sheetViews>
    <sheetView tabSelected="1" workbookViewId="0">
      <selection activeCell="I34" sqref="I34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15.75" x14ac:dyDescent="0.25">
      <c r="A1" s="1" t="s">
        <v>66</v>
      </c>
    </row>
    <row r="3" spans="1:34" ht="15" x14ac:dyDescent="0.25">
      <c r="A3" s="30" t="s">
        <v>61</v>
      </c>
      <c r="D3" s="30" t="s">
        <v>69</v>
      </c>
      <c r="I3" s="64">
        <v>1</v>
      </c>
      <c r="J3" s="64"/>
      <c r="K3" s="64"/>
      <c r="L3" s="64"/>
      <c r="M3" s="64"/>
      <c r="N3" s="64">
        <v>3</v>
      </c>
      <c r="O3" s="64"/>
      <c r="P3" s="64"/>
      <c r="Q3" s="64">
        <v>5</v>
      </c>
      <c r="R3" s="64"/>
      <c r="S3" s="64"/>
      <c r="T3" s="64">
        <v>7</v>
      </c>
      <c r="U3" s="64"/>
      <c r="V3" s="64"/>
      <c r="W3" s="64">
        <v>9</v>
      </c>
      <c r="X3" s="64"/>
      <c r="Y3" s="64"/>
      <c r="Z3" s="64">
        <v>11</v>
      </c>
      <c r="AA3" s="64"/>
      <c r="AB3" s="64"/>
      <c r="AC3" s="64">
        <v>13</v>
      </c>
      <c r="AD3" s="64"/>
      <c r="AE3" s="64"/>
      <c r="AF3" s="64">
        <v>15</v>
      </c>
      <c r="AG3" s="64"/>
      <c r="AH3" s="64"/>
    </row>
    <row r="4" spans="1:34" ht="15" x14ac:dyDescent="0.25">
      <c r="A4" s="3" t="s">
        <v>62</v>
      </c>
      <c r="B4" s="31">
        <v>-1.6021766339999999E-19</v>
      </c>
      <c r="D4" s="29" t="s">
        <v>70</v>
      </c>
      <c r="E4" s="29" t="s">
        <v>71</v>
      </c>
      <c r="F4" s="29" t="s">
        <v>72</v>
      </c>
      <c r="G4" s="40"/>
      <c r="H4" s="33" t="s">
        <v>57</v>
      </c>
      <c r="I4" s="53" t="s">
        <v>102</v>
      </c>
      <c r="J4" s="33" t="s">
        <v>103</v>
      </c>
      <c r="K4" s="43" t="s">
        <v>91</v>
      </c>
      <c r="L4" s="43" t="s">
        <v>59</v>
      </c>
      <c r="M4" s="33" t="s">
        <v>92</v>
      </c>
      <c r="N4" s="43" t="s">
        <v>91</v>
      </c>
      <c r="O4" s="43" t="s">
        <v>59</v>
      </c>
      <c r="P4" s="33" t="s">
        <v>92</v>
      </c>
      <c r="Q4" s="43" t="s">
        <v>91</v>
      </c>
      <c r="R4" s="43" t="s">
        <v>59</v>
      </c>
      <c r="S4" s="33" t="s">
        <v>92</v>
      </c>
      <c r="T4" s="43" t="s">
        <v>91</v>
      </c>
      <c r="U4" s="43" t="s">
        <v>59</v>
      </c>
      <c r="V4" s="33" t="s">
        <v>92</v>
      </c>
      <c r="W4" s="43" t="s">
        <v>91</v>
      </c>
      <c r="X4" s="43" t="s">
        <v>59</v>
      </c>
      <c r="Y4" s="33" t="s">
        <v>92</v>
      </c>
      <c r="Z4" s="43" t="s">
        <v>91</v>
      </c>
      <c r="AA4" s="43" t="s">
        <v>59</v>
      </c>
      <c r="AB4" s="33" t="s">
        <v>92</v>
      </c>
      <c r="AC4" s="43" t="s">
        <v>91</v>
      </c>
      <c r="AD4" s="43" t="s">
        <v>59</v>
      </c>
      <c r="AE4" s="33" t="s">
        <v>92</v>
      </c>
      <c r="AF4" s="43" t="s">
        <v>91</v>
      </c>
      <c r="AG4" s="43" t="s">
        <v>59</v>
      </c>
      <c r="AH4" s="33" t="s">
        <v>92</v>
      </c>
    </row>
    <row r="5" spans="1:34" ht="15" x14ac:dyDescent="0.25">
      <c r="A5" s="3" t="s">
        <v>63</v>
      </c>
      <c r="B5" s="31">
        <v>9.1093835599999998E-31</v>
      </c>
      <c r="D5" s="41">
        <v>1</v>
      </c>
      <c r="E5" s="42">
        <f>($B$7*$B$6/(ABS($B$4)*($B$28/1000)/(2*(1/$B$19*1000)^2*$D5)*(1+0.5*$B$32^2)))</f>
        <v>918.40877644840486</v>
      </c>
      <c r="F5" s="42">
        <f>($B$7*$B$6/(ABS($B$4)*($B$28/1000)/(2*(1/$B$19*1000)^2*$D5)*(1+0)))</f>
        <v>3561.1280714956865</v>
      </c>
      <c r="H5" s="34">
        <f>B32</f>
        <v>2.3989572179443432</v>
      </c>
      <c r="I5" s="54">
        <f t="shared" ref="I5:I24" si="0">(($B$28/1000)/(2*$B$20^2)*(1+H5^2/2))</f>
        <v>1.3499892374111308E-9</v>
      </c>
      <c r="J5" s="55">
        <f>H5^2/(4*(1 + 0.5*H5^2))</f>
        <v>0.37105086393836578</v>
      </c>
      <c r="K5" s="44">
        <f t="shared" ref="K5:K24" si="1">($B$7*$B$6/(ABS($B$4)*($B$28/1000)/(2*(1/$B$19*1000)^2*I$3)*(1+0.5*$H5^2)))</f>
        <v>918.40877644840486</v>
      </c>
      <c r="L5" s="45">
        <f>(143100000000000*INT($B$31)*ABS($B$10)*I$3*$H5^2/(1+0.5*$H5^2)*(BESSELJ(I$3*$J5,(I$3+1)/2) - BESSELJ(I$3*$J5,(I$3-1)/2))^2)</f>
        <v>45635867805307.969</v>
      </c>
      <c r="M5" s="45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5.441075563452208E+17</v>
      </c>
      <c r="N5" s="44">
        <f>($B$7*$B$6/(ABS($B$4)*($B$28/1000)/(2*(1/$B$19*1000)^2*N$3)*(1+0.5*$H5^2)))</f>
        <v>2755.2263293452147</v>
      </c>
      <c r="O5" s="45">
        <f t="shared" ref="O5:O24" si="2">(143100000000000*INT($B$31)*ABS($B$10)*N$3*$H5^2/(1+0.5*$H5^2)*(BESSELJ(N$3*$H5^2/(4+2*$H5^2),(N$3-1)/2) - BESSELJ(N$3*$H5^2/(4+2*$H5^2),(N$3+1)/2))^2)</f>
        <v>25057833683090.797</v>
      </c>
      <c r="P5" s="45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9.0845402388988262E+17</v>
      </c>
      <c r="Q5" s="44">
        <f>($B$7*$B$6/(ABS($B$4)*($B$28/1000)/(2*(1/$B$19*1000)^2*Q$3)*(1+0.5*$H5^2)))</f>
        <v>4592.0438822420238</v>
      </c>
      <c r="R5" s="45">
        <f t="shared" ref="R5:R24" si="4">(143100000000000*INT($B$31)*ABS($B$10)*Q$3*$H5^2/(1+0.5*$H5^2)*(BESSELJ(Q$3*$H5^2/(4+2*$H5^2),(Q$3-1)/2) - BESSELJ(Q$3*$H5^2/(4+2*$H5^2),(Q$3+1)/2))^2)</f>
        <v>16801464685033.008</v>
      </c>
      <c r="S5" s="45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1.0153772750711872E+18</v>
      </c>
      <c r="T5" s="44">
        <f>($B$7*$B$6/(ABS($B$4)*($B$28/1000)/(2*(1/$B$19*1000)^2*T$3)*(1+0.5*$H5^2)))</f>
        <v>6428.8614351388333</v>
      </c>
      <c r="U5" s="45">
        <f>(143100000000000*INT($B$31)*ABS($B$10)*T$3*$H5^2/(1+0.5*$H5^2)*(BESSELJ(T$3*$H5^2/(4+2*$H5^2),(T$3-1)/2) - BESSELJ(T$3*$H5^2/(4+2*$H5^2),(T$3+1)/2))^2)</f>
        <v>11874879772886.766</v>
      </c>
      <c r="V5" s="45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1.0029351396212454E+18</v>
      </c>
      <c r="W5" s="44">
        <f>($B$7*$B$6/(ABS($B$4)*($B$28/1000)/(2*(1/$B$19*1000)^2*W$3)*(1+0.5*$H5^2)))</f>
        <v>8265.6789880356428</v>
      </c>
      <c r="X5" s="45">
        <f>(143100000000000*INT($B$31)*ABS($B$10)*W$3*$H5^2/(1+0.5*$H5^2)*(BESSELJ(W$3*$H5^2/(4+2*$H5^2),(W$3-1)/2) - BESSELJ(W$3*$H5^2/(4+2*$H5^2),(W$3+1)/2))^2)</f>
        <v>8587369588201.6025</v>
      </c>
      <c r="Y5" s="45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9.3026976420301632E+17</v>
      </c>
      <c r="Z5" s="44">
        <f>($B$7*$B$6/(ABS($B$4)*($B$28/1000)/(2*(1/$B$19*1000)^2*Z$3)*(1+0.5*$H5^2)))</f>
        <v>10102.496540932454</v>
      </c>
      <c r="AA5" s="45">
        <f>(143100000000000*INT($B$31)*ABS($B$10)*Z$3*$H5^2/(1+0.5*$H5^2)*(BESSELJ(Z$3*$H5^2/(4+2*$H5^2),(Z$3-1)/2) - BESSELJ(Z$3*$H5^2/(4+2*$H5^2),(Z$3+1)/2))^2)</f>
        <v>6286943666907.9063</v>
      </c>
      <c r="AB5" s="45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8.301922720958432E+17</v>
      </c>
      <c r="AC5" s="44">
        <f>($B$7*$B$6/(ABS($B$4)*($B$28/1000)/(2*(1/$B$19*1000)^2*AC$3)*(1+0.5*$H5^2)))</f>
        <v>11939.314093829262</v>
      </c>
      <c r="AD5" s="45">
        <f>(143100000000000*INT($B$31)*ABS($B$10)*AC$3*$H5^2/(1+0.5*$H5^2)*(BESSELJ(AC$3*$H5^2/(4+2*$H5^2),(AC$3-1)/2) - BESSELJ(AC$3*$H5^2/(4+2*$H5^2),(AC$3+1)/2))^2)</f>
        <v>4637311153079.7676</v>
      </c>
      <c r="AE5" s="45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7.216642037505367E+17</v>
      </c>
      <c r="AF5" s="44">
        <f>($B$7*$B$6/(ABS($B$4)*($B$28/1000)/(2*(1/$B$19*1000)^2*AF$3)*(1+0.5*$H5^2)))</f>
        <v>13776.131646726073</v>
      </c>
      <c r="AG5" s="45">
        <f>(143100000000000*INT($B$31)*ABS($B$10)*AF$3*$H5^2/(1+0.5*$H5^2)*(BESSELJ(AF$3*$H5^2/(4+2*$H5^2),(AF$3-1)/2) - BESSELJ(AF$3*$H5^2/(4+2*$H5^2),(AF$3+1)/2))^2)</f>
        <v>3437387718145.0303</v>
      </c>
      <c r="AH5" s="45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6.154477267401568E+17</v>
      </c>
    </row>
    <row r="6" spans="1:34" ht="15" x14ac:dyDescent="0.25">
      <c r="A6" s="3" t="s">
        <v>64</v>
      </c>
      <c r="B6" s="31">
        <v>299792458</v>
      </c>
      <c r="D6" s="41">
        <v>3</v>
      </c>
      <c r="E6" s="42">
        <f t="shared" ref="E6:E12" si="11">($B$7*$B$6/(ABS($B$4)*($B$28/1000)/(2*(1/$B$19*1000)^2*$D6)*(1+0.5*$B$32^2)))</f>
        <v>2755.2263293452147</v>
      </c>
      <c r="F6" s="42">
        <f t="shared" ref="F6:F12" si="12">($B$7*$B$6/(ABS($B$4)*($B$28/1000)/(2*(1/$B$19*1000)^2*$D6)*(1+0)))</f>
        <v>10683.38421448706</v>
      </c>
      <c r="H6" s="34">
        <f>-$H$5/20+H5</f>
        <v>2.2790093570471259</v>
      </c>
      <c r="I6" s="54">
        <f t="shared" si="0"/>
        <v>1.2523108762055962E-9</v>
      </c>
      <c r="J6" s="55">
        <f t="shared" ref="J6:J24" si="13">H6^2/(4*(1 + 0.5*H6^2))</f>
        <v>0.3609930256422284</v>
      </c>
      <c r="K6" s="44">
        <f t="shared" si="1"/>
        <v>990.04327703828289</v>
      </c>
      <c r="L6" s="45">
        <f t="shared" ref="L6:L24" si="14">(143100000000000*INT($B$31)*ABS($B$10)*I$3*$H6^2/(1+0.5*$H6^2)*(BESSELJ(I$3*$J6,(I$3+1)/2) - BESSELJ(I$3*$J6,(I$3-1)/2))^2)</f>
        <v>45148681713185.852</v>
      </c>
      <c r="M6" s="45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5.812526505603113E+17</v>
      </c>
      <c r="N6" s="44">
        <f t="shared" ref="N6:N24" si="16">($B$7*$B$6/(ABS($B$4)*($B$28/1000)/(2*(1/$B$19*1000)^2*N$3)*(1+0.5*$H6^2)))</f>
        <v>2970.1298311148489</v>
      </c>
      <c r="O6" s="45">
        <f t="shared" si="2"/>
        <v>24073163183648.355</v>
      </c>
      <c r="P6" s="45">
        <f t="shared" si="3"/>
        <v>9.4105040798368256E+17</v>
      </c>
      <c r="Q6" s="44">
        <f t="shared" ref="Q6:Q24" si="17">($B$7*$B$6/(ABS($B$4)*($B$28/1000)/(2*(1/$B$19*1000)^2*Q$3)*(1+0.5*$H6^2)))</f>
        <v>4950.2163851914147</v>
      </c>
      <c r="R6" s="45">
        <f t="shared" si="4"/>
        <v>15619823965273.482</v>
      </c>
      <c r="S6" s="45">
        <f t="shared" si="5"/>
        <v>1.0173300059635222E+18</v>
      </c>
      <c r="T6" s="44">
        <f t="shared" ref="T6:T24" si="18">($B$7*$B$6/(ABS($B$4)*($B$28/1000)/(2*(1/$B$19*1000)^2*T$3)*(1+0.5*$H6^2)))</f>
        <v>6930.30293926798</v>
      </c>
      <c r="U6" s="45">
        <f t="shared" ref="U6:U24" si="19">(143100000000000*INT($B$31)*ABS($B$10)*T$3*$H6^2/(1+0.5*$H6^2)*(BESSELJ(T$3*$H6^2/(4+2*$H6^2),(T$3-1)/2) - BESSELJ(T$3*$H6^2/(4+2*$H6^2),(T$3+1)/2))^2)</f>
        <v>10667220962107.631</v>
      </c>
      <c r="V6" s="45">
        <f t="shared" si="6"/>
        <v>9.7061530163056461E+17</v>
      </c>
      <c r="W6" s="44">
        <f t="shared" ref="W6:W24" si="20">($B$7*$B$6/(ABS($B$4)*($B$28/1000)/(2*(1/$B$19*1000)^2*W$3)*(1+0.5*$H6^2)))</f>
        <v>8910.3894933445463</v>
      </c>
      <c r="X6" s="45">
        <f t="shared" ref="X6:X24" si="21">(143100000000000*INT($B$31)*ABS($B$10)*W$3*$H6^2/(1+0.5*$H6^2)*(BESSELJ(W$3*$H6^2/(4+2*$H6^2),(W$3-1)/2) - BESSELJ(W$3*$H6^2/(4+2*$H6^2),(W$3+1)/2))^2)</f>
        <v>7447611348175.5967</v>
      </c>
      <c r="Y6" s="45">
        <f t="shared" si="7"/>
        <v>8.6893334323639859E+17</v>
      </c>
      <c r="Z6" s="44">
        <f t="shared" ref="Z6:Z24" si="22">($B$7*$B$6/(ABS($B$4)*($B$28/1000)/(2*(1/$B$19*1000)^2*Z$3)*(1+0.5*$H6^2)))</f>
        <v>10890.476047421113</v>
      </c>
      <c r="AA6" s="45">
        <f t="shared" ref="AA6:AA24" si="23">(143100000000000*INT($B$31)*ABS($B$10)*Z$3*$H6^2/(1+0.5*$H6^2)*(BESSELJ(Z$3*$H6^2/(4+2*$H6^2),(Z$3-1)/2) - BESSELJ(Z$3*$H6^2/(4+2*$H6^2),(Z$3+1)/2))^2)</f>
        <v>5261454950223.5537</v>
      </c>
      <c r="AB6" s="45">
        <f t="shared" si="8"/>
        <v>7.4807444662854464E+17</v>
      </c>
      <c r="AC6" s="44">
        <f t="shared" ref="AC6:AC24" si="24">($B$7*$B$6/(ABS($B$4)*($B$28/1000)/(2*(1/$B$19*1000)^2*AC$3)*(1+0.5*$H6^2)))</f>
        <v>12870.562601497679</v>
      </c>
      <c r="AD6" s="45">
        <f t="shared" ref="AD6:AD24" si="25">(143100000000000*INT($B$31)*ABS($B$10)*AC$3*$H6^2/(1+0.5*$H6^2)*(BESSELJ(AC$3*$H6^2/(4+2*$H6^2),(AC$3-1)/2) - BESSELJ(AC$3*$H6^2/(4+2*$H6^2),(AC$3+1)/2))^2)</f>
        <v>3743595053353.5254</v>
      </c>
      <c r="AE6" s="45">
        <f t="shared" si="9"/>
        <v>6.2710914670342438E+17</v>
      </c>
      <c r="AF6" s="44">
        <f t="shared" ref="AF6:AF24" si="26">($B$7*$B$6/(ABS($B$4)*($B$28/1000)/(2*(1/$B$19*1000)^2*AF$3)*(1+0.5*$H6^2)))</f>
        <v>14850.649155574243</v>
      </c>
      <c r="AG6" s="45">
        <f t="shared" ref="AG6:AG24" si="27">(143100000000000*INT($B$31)*ABS($B$10)*AF$3*$H6^2/(1+0.5*$H6^2)*(BESSELJ(AF$3*$H6^2/(4+2*$H6^2),(AF$3-1)/2) - BESSELJ(AF$3*$H6^2/(4+2*$H6^2),(AF$3+1)/2))^2)</f>
        <v>2676071849003.3403</v>
      </c>
      <c r="AH6" s="45">
        <f t="shared" si="10"/>
        <v>5.1562693502630342E+17</v>
      </c>
    </row>
    <row r="7" spans="1:34" ht="15" x14ac:dyDescent="0.25">
      <c r="A7" s="3" t="s">
        <v>65</v>
      </c>
      <c r="B7" s="31">
        <v>6.6260700399999999E-34</v>
      </c>
      <c r="D7" s="41">
        <v>5</v>
      </c>
      <c r="E7" s="42">
        <f t="shared" si="11"/>
        <v>4592.0438822420238</v>
      </c>
      <c r="F7" s="42">
        <f t="shared" si="12"/>
        <v>17805.640357478431</v>
      </c>
      <c r="H7" s="34">
        <f t="shared" ref="H7:H24" si="28">-$H$5/20+H6</f>
        <v>2.1590614961499086</v>
      </c>
      <c r="I7" s="54">
        <f t="shared" si="0"/>
        <v>1.1596416617285503E-9</v>
      </c>
      <c r="J7" s="55">
        <f t="shared" si="13"/>
        <v>0.3498847086976955</v>
      </c>
      <c r="K7" s="44">
        <f t="shared" si="1"/>
        <v>1069.1595556347777</v>
      </c>
      <c r="L7" s="45">
        <f t="shared" si="14"/>
        <v>44564619516595.336</v>
      </c>
      <c r="M7" s="45">
        <f t="shared" si="15"/>
        <v>6.2055243125831757E+17</v>
      </c>
      <c r="N7" s="44">
        <f t="shared" si="16"/>
        <v>3207.4786669043328</v>
      </c>
      <c r="O7" s="45">
        <f t="shared" si="2"/>
        <v>22939999626410.262</v>
      </c>
      <c r="P7" s="45">
        <f t="shared" si="3"/>
        <v>9.6857443363675021E+17</v>
      </c>
      <c r="Q7" s="44">
        <f t="shared" si="17"/>
        <v>5345.7977781738873</v>
      </c>
      <c r="R7" s="45">
        <f t="shared" si="4"/>
        <v>14313735566834.016</v>
      </c>
      <c r="S7" s="45">
        <f t="shared" si="5"/>
        <v>1.0064167399277458E+18</v>
      </c>
      <c r="T7" s="44">
        <f t="shared" si="18"/>
        <v>7484.1168894434431</v>
      </c>
      <c r="U7" s="45">
        <f t="shared" si="19"/>
        <v>9385089598382.8984</v>
      </c>
      <c r="V7" s="45">
        <f t="shared" si="6"/>
        <v>9.215346432649609E+17</v>
      </c>
      <c r="W7" s="44">
        <f t="shared" si="20"/>
        <v>9622.4360007129981</v>
      </c>
      <c r="X7" s="45">
        <f t="shared" si="21"/>
        <v>6285359160614.3789</v>
      </c>
      <c r="Y7" s="45">
        <f t="shared" si="7"/>
        <v>7.9110870479384256E+17</v>
      </c>
      <c r="Z7" s="44">
        <f t="shared" si="22"/>
        <v>11760.755111982553</v>
      </c>
      <c r="AA7" s="45">
        <f t="shared" si="23"/>
        <v>4257028829767.8281</v>
      </c>
      <c r="AB7" s="45">
        <f t="shared" si="8"/>
        <v>6.527573988955241E+17</v>
      </c>
      <c r="AC7" s="44">
        <f t="shared" si="24"/>
        <v>13899.07422325211</v>
      </c>
      <c r="AD7" s="45">
        <f t="shared" si="25"/>
        <v>2902800056010.6963</v>
      </c>
      <c r="AE7" s="45">
        <f t="shared" si="9"/>
        <v>5.2426834165814918E+17</v>
      </c>
      <c r="AF7" s="44">
        <f t="shared" si="26"/>
        <v>16037.393334521663</v>
      </c>
      <c r="AG7" s="45">
        <f t="shared" si="27"/>
        <v>1988107453646.4692</v>
      </c>
      <c r="AH7" s="45">
        <f t="shared" si="10"/>
        <v>4.128956727453383E+17</v>
      </c>
    </row>
    <row r="8" spans="1:34" ht="15" x14ac:dyDescent="0.25">
      <c r="D8" s="41">
        <v>7</v>
      </c>
      <c r="E8" s="42">
        <f t="shared" si="11"/>
        <v>6428.8614351388333</v>
      </c>
      <c r="F8" s="42">
        <f t="shared" si="12"/>
        <v>24927.896500469804</v>
      </c>
      <c r="H8" s="34">
        <f t="shared" si="28"/>
        <v>2.0391136352526913</v>
      </c>
      <c r="I8" s="54">
        <f t="shared" si="0"/>
        <v>1.0719815939799935E-9</v>
      </c>
      <c r="J8" s="55">
        <f t="shared" si="13"/>
        <v>0.33760920258867932</v>
      </c>
      <c r="K8" s="44">
        <f t="shared" si="1"/>
        <v>1156.5888544280463</v>
      </c>
      <c r="L8" s="45">
        <f t="shared" si="14"/>
        <v>43862508533738.227</v>
      </c>
      <c r="M8" s="45">
        <f t="shared" si="15"/>
        <v>6.6168920996683034E+17</v>
      </c>
      <c r="N8" s="44">
        <f t="shared" si="16"/>
        <v>3469.766563284139</v>
      </c>
      <c r="O8" s="45">
        <f t="shared" si="2"/>
        <v>21641677844332.004</v>
      </c>
      <c r="P8" s="45">
        <f t="shared" si="3"/>
        <v>9.8856671871469325E+17</v>
      </c>
      <c r="Q8" s="44">
        <f t="shared" si="17"/>
        <v>5782.9442721402311</v>
      </c>
      <c r="R8" s="45">
        <f t="shared" si="4"/>
        <v>12886654406551.588</v>
      </c>
      <c r="S8" s="45">
        <f t="shared" si="5"/>
        <v>9.7974437972188749E+17</v>
      </c>
      <c r="T8" s="44">
        <f t="shared" si="18"/>
        <v>8096.1219809963241</v>
      </c>
      <c r="U8" s="45">
        <f t="shared" si="19"/>
        <v>8049081780264.6582</v>
      </c>
      <c r="V8" s="45">
        <f t="shared" si="6"/>
        <v>8.5427151245622938E+17</v>
      </c>
      <c r="W8" s="44">
        <f t="shared" si="20"/>
        <v>10409.299689852418</v>
      </c>
      <c r="X8" s="45">
        <f t="shared" si="21"/>
        <v>5130368165308.4893</v>
      </c>
      <c r="Y8" s="45">
        <f t="shared" si="7"/>
        <v>6.9771777218029146E+17</v>
      </c>
      <c r="Z8" s="44">
        <f t="shared" si="22"/>
        <v>12722.477398708512</v>
      </c>
      <c r="AA8" s="45">
        <f t="shared" si="23"/>
        <v>3305102044026.5469</v>
      </c>
      <c r="AB8" s="45">
        <f t="shared" si="8"/>
        <v>5.4741210101666451E+17</v>
      </c>
      <c r="AC8" s="44">
        <f t="shared" si="24"/>
        <v>15035.655107564606</v>
      </c>
      <c r="AD8" s="45">
        <f t="shared" si="25"/>
        <v>2142835224081.1921</v>
      </c>
      <c r="AE8" s="45">
        <f t="shared" si="9"/>
        <v>4.1790263065785363E+17</v>
      </c>
      <c r="AF8" s="44">
        <f t="shared" si="26"/>
        <v>17348.832816420694</v>
      </c>
      <c r="AG8" s="45">
        <f t="shared" si="27"/>
        <v>1395043618608.4771</v>
      </c>
      <c r="AH8" s="45">
        <f t="shared" si="10"/>
        <v>3.1275779389369882E+17</v>
      </c>
    </row>
    <row r="9" spans="1:34" ht="15" x14ac:dyDescent="0.25">
      <c r="A9" s="3" t="s">
        <v>73</v>
      </c>
      <c r="B9" s="4">
        <v>3</v>
      </c>
      <c r="D9" s="41">
        <v>9</v>
      </c>
      <c r="E9" s="42">
        <f t="shared" si="11"/>
        <v>8265.6789880356428</v>
      </c>
      <c r="F9" s="42">
        <f t="shared" si="12"/>
        <v>32050.152643461181</v>
      </c>
      <c r="H9" s="34">
        <f t="shared" si="28"/>
        <v>1.9191657743554742</v>
      </c>
      <c r="I9" s="54">
        <f t="shared" si="0"/>
        <v>9.8933067295992564E-10</v>
      </c>
      <c r="J9" s="55">
        <f t="shared" si="13"/>
        <v>0.3240427082525914</v>
      </c>
      <c r="K9" s="44">
        <f t="shared" si="1"/>
        <v>1253.2129020521063</v>
      </c>
      <c r="L9" s="45">
        <f t="shared" si="14"/>
        <v>43016659885796.547</v>
      </c>
      <c r="M9" s="45">
        <f t="shared" si="15"/>
        <v>7.0409891206942182E+17</v>
      </c>
      <c r="N9" s="44">
        <f t="shared" si="16"/>
        <v>3759.6387061563196</v>
      </c>
      <c r="O9" s="45">
        <f t="shared" si="2"/>
        <v>20163767408318.039</v>
      </c>
      <c r="P9" s="45">
        <f t="shared" si="3"/>
        <v>9.9801484949837478E+17</v>
      </c>
      <c r="Q9" s="44">
        <f t="shared" si="17"/>
        <v>6266.0645102605322</v>
      </c>
      <c r="R9" s="45">
        <f t="shared" si="4"/>
        <v>11350863217338.188</v>
      </c>
      <c r="S9" s="45">
        <f t="shared" si="5"/>
        <v>9.3457857306020723E+17</v>
      </c>
      <c r="T9" s="44">
        <f t="shared" si="18"/>
        <v>8772.4903143647443</v>
      </c>
      <c r="U9" s="45">
        <f t="shared" si="19"/>
        <v>6689748695294.8115</v>
      </c>
      <c r="V9" s="45">
        <f t="shared" si="6"/>
        <v>7.6858429069448141E+17</v>
      </c>
      <c r="W9" s="44">
        <f t="shared" si="20"/>
        <v>11278.916118468958</v>
      </c>
      <c r="X9" s="45">
        <f t="shared" si="21"/>
        <v>4019308702392.9937</v>
      </c>
      <c r="Y9" s="45">
        <f t="shared" si="7"/>
        <v>5.9149641299785011E+17</v>
      </c>
      <c r="Z9" s="44">
        <f t="shared" si="22"/>
        <v>13785.34192257317</v>
      </c>
      <c r="AA9" s="45">
        <f t="shared" si="23"/>
        <v>2439299068389.6519</v>
      </c>
      <c r="AB9" s="45">
        <f t="shared" si="8"/>
        <v>4.3703036640510477E+17</v>
      </c>
      <c r="AC9" s="44">
        <f t="shared" si="24"/>
        <v>16291.767726677384</v>
      </c>
      <c r="AD9" s="45">
        <f t="shared" si="25"/>
        <v>1489273108180.8857</v>
      </c>
      <c r="AE9" s="45">
        <f t="shared" si="9"/>
        <v>3.140738273756119E+17</v>
      </c>
      <c r="AF9" s="44">
        <f t="shared" si="26"/>
        <v>18798.193530781595</v>
      </c>
      <c r="AG9" s="45">
        <f t="shared" si="27"/>
        <v>912765002743.65271</v>
      </c>
      <c r="AH9" s="45">
        <f t="shared" si="10"/>
        <v>2.2121224624089594E+17</v>
      </c>
    </row>
    <row r="10" spans="1:34" ht="15" x14ac:dyDescent="0.25">
      <c r="A10" s="3" t="s">
        <v>74</v>
      </c>
      <c r="B10" s="4">
        <v>0.35</v>
      </c>
      <c r="D10" s="41">
        <v>11</v>
      </c>
      <c r="E10" s="42">
        <f t="shared" si="11"/>
        <v>10102.496540932454</v>
      </c>
      <c r="F10" s="42">
        <f t="shared" si="12"/>
        <v>39172.408786452557</v>
      </c>
      <c r="H10" s="34">
        <f t="shared" si="28"/>
        <v>1.7992179134582571</v>
      </c>
      <c r="I10" s="54">
        <f t="shared" si="0"/>
        <v>9.116888986683469E-10</v>
      </c>
      <c r="J10" s="55">
        <f t="shared" si="13"/>
        <v>0.30905773218151655</v>
      </c>
      <c r="K10" s="44">
        <f t="shared" si="1"/>
        <v>1359.9397399268983</v>
      </c>
      <c r="L10" s="45">
        <f t="shared" si="14"/>
        <v>41996223913563.961</v>
      </c>
      <c r="M10" s="45">
        <f t="shared" si="15"/>
        <v>7.4687213249988198E+17</v>
      </c>
      <c r="N10" s="44">
        <f t="shared" si="16"/>
        <v>4079.8192197806943</v>
      </c>
      <c r="O10" s="45">
        <f t="shared" si="2"/>
        <v>18496832479308.207</v>
      </c>
      <c r="P10" s="45">
        <f t="shared" si="3"/>
        <v>9.9340254051491802E+17</v>
      </c>
      <c r="Q10" s="44">
        <f t="shared" si="17"/>
        <v>6799.6986996344904</v>
      </c>
      <c r="R10" s="45">
        <f t="shared" si="4"/>
        <v>9730483434165.6973</v>
      </c>
      <c r="S10" s="45">
        <f t="shared" si="5"/>
        <v>8.6883749147445312E+17</v>
      </c>
      <c r="T10" s="44">
        <f t="shared" si="18"/>
        <v>9519.578179488286</v>
      </c>
      <c r="U10" s="45">
        <f t="shared" si="19"/>
        <v>5348072971791.7305</v>
      </c>
      <c r="V10" s="45">
        <f t="shared" si="6"/>
        <v>6.660426289502537E+17</v>
      </c>
      <c r="W10" s="44">
        <f t="shared" si="20"/>
        <v>12239.457659342082</v>
      </c>
      <c r="X10" s="45">
        <f t="shared" si="21"/>
        <v>2993379161999.9497</v>
      </c>
      <c r="Y10" s="45">
        <f t="shared" si="7"/>
        <v>4.7732073190588166E+17</v>
      </c>
      <c r="Z10" s="44">
        <f t="shared" si="22"/>
        <v>14959.337139195881</v>
      </c>
      <c r="AA10" s="45">
        <f t="shared" si="23"/>
        <v>1691321898359.4495</v>
      </c>
      <c r="AB10" s="45">
        <f t="shared" si="8"/>
        <v>3.2821285254869658E+17</v>
      </c>
      <c r="AC10" s="44">
        <f t="shared" si="24"/>
        <v>17679.216619049676</v>
      </c>
      <c r="AD10" s="45">
        <f t="shared" si="25"/>
        <v>960970606808.59656</v>
      </c>
      <c r="AE10" s="45">
        <f t="shared" si="9"/>
        <v>2.1942788786314867E+17</v>
      </c>
      <c r="AF10" s="44">
        <f t="shared" si="26"/>
        <v>20399.096098903468</v>
      </c>
      <c r="AG10" s="45">
        <f t="shared" si="27"/>
        <v>547958506902.61572</v>
      </c>
      <c r="AH10" s="45">
        <f t="shared" si="10"/>
        <v>1.4373704953209206E+17</v>
      </c>
    </row>
    <row r="11" spans="1:34" ht="15" x14ac:dyDescent="0.25">
      <c r="A11" s="3" t="s">
        <v>75</v>
      </c>
      <c r="B11" s="4">
        <v>518.38599999999997</v>
      </c>
      <c r="D11" s="41">
        <v>13</v>
      </c>
      <c r="E11" s="42">
        <f t="shared" si="11"/>
        <v>11939.314093829262</v>
      </c>
      <c r="F11" s="42">
        <f t="shared" si="12"/>
        <v>46294.664929443927</v>
      </c>
      <c r="H11" s="34">
        <f t="shared" si="28"/>
        <v>1.67927005256104</v>
      </c>
      <c r="I11" s="54">
        <f t="shared" si="0"/>
        <v>8.3905627110525705E-10</v>
      </c>
      <c r="J11" s="55">
        <f t="shared" si="13"/>
        <v>0.29252887815573941</v>
      </c>
      <c r="K11" s="44">
        <f t="shared" si="1"/>
        <v>1477.6624720485968</v>
      </c>
      <c r="L11" s="45">
        <f t="shared" si="14"/>
        <v>40764727894940.93</v>
      </c>
      <c r="M11" s="45">
        <f t="shared" si="15"/>
        <v>7.8862948942607808E+17</v>
      </c>
      <c r="N11" s="44">
        <f t="shared" si="16"/>
        <v>4432.987416145791</v>
      </c>
      <c r="O11" s="45">
        <f t="shared" si="2"/>
        <v>16640348555842.537</v>
      </c>
      <c r="P11" s="45">
        <f t="shared" si="3"/>
        <v>9.7090114525209498E+17</v>
      </c>
      <c r="Q11" s="44">
        <f t="shared" si="17"/>
        <v>7388.3123602429841</v>
      </c>
      <c r="R11" s="45">
        <f t="shared" si="4"/>
        <v>8064177296926.042</v>
      </c>
      <c r="S11" s="45">
        <f t="shared" si="5"/>
        <v>7.8179503089481331E+17</v>
      </c>
      <c r="T11" s="44">
        <f t="shared" si="18"/>
        <v>10343.637304340178</v>
      </c>
      <c r="U11" s="45">
        <f t="shared" si="19"/>
        <v>4074011897253.1113</v>
      </c>
      <c r="V11" s="45">
        <f t="shared" si="6"/>
        <v>5.5061545112017658E+17</v>
      </c>
      <c r="W11" s="44">
        <f t="shared" si="20"/>
        <v>13298.962248437372</v>
      </c>
      <c r="X11" s="45">
        <f t="shared" si="21"/>
        <v>2093656039660.2979</v>
      </c>
      <c r="Y11" s="45">
        <f t="shared" si="7"/>
        <v>3.621483497771399E+17</v>
      </c>
      <c r="Z11" s="44">
        <f t="shared" si="22"/>
        <v>16254.287192534566</v>
      </c>
      <c r="AA11" s="45">
        <f t="shared" si="23"/>
        <v>1085446304818.6735</v>
      </c>
      <c r="AB11" s="45">
        <f t="shared" si="8"/>
        <v>2.2839764814623712E+17</v>
      </c>
      <c r="AC11" s="44">
        <f t="shared" si="24"/>
        <v>19209.61213663176</v>
      </c>
      <c r="AD11" s="45">
        <f t="shared" si="25"/>
        <v>565654555077.89917</v>
      </c>
      <c r="AE11" s="45">
        <f t="shared" si="9"/>
        <v>1.399958650369689E+17</v>
      </c>
      <c r="AF11" s="44">
        <f t="shared" si="26"/>
        <v>22164.937080728952</v>
      </c>
      <c r="AG11" s="45">
        <f t="shared" si="27"/>
        <v>295750521881.98547</v>
      </c>
      <c r="AH11" s="45">
        <f t="shared" si="10"/>
        <v>8.4054755433716976E+16</v>
      </c>
    </row>
    <row r="12" spans="1:34" ht="15" x14ac:dyDescent="0.25">
      <c r="A12" s="3" t="s">
        <v>76</v>
      </c>
      <c r="B12" s="4">
        <v>864</v>
      </c>
      <c r="D12" s="41">
        <v>15</v>
      </c>
      <c r="E12" s="42">
        <f t="shared" si="11"/>
        <v>13776.131646726073</v>
      </c>
      <c r="F12" s="42">
        <f t="shared" si="12"/>
        <v>53416.921072435296</v>
      </c>
      <c r="H12" s="34">
        <f t="shared" si="28"/>
        <v>1.5593221916638229</v>
      </c>
      <c r="I12" s="54">
        <f t="shared" si="0"/>
        <v>7.714327902706563E-10</v>
      </c>
      <c r="J12" s="55">
        <f t="shared" si="13"/>
        <v>0.27434204502041715</v>
      </c>
      <c r="K12" s="44">
        <f t="shared" si="1"/>
        <v>1607.1937560682047</v>
      </c>
      <c r="L12" s="45">
        <f t="shared" si="14"/>
        <v>39280053139744.523</v>
      </c>
      <c r="M12" s="45">
        <f t="shared" si="15"/>
        <v>8.2737447970084173E+17</v>
      </c>
      <c r="N12" s="44">
        <f t="shared" si="16"/>
        <v>4821.5812682046144</v>
      </c>
      <c r="O12" s="45">
        <f t="shared" si="2"/>
        <v>14607808789877.928</v>
      </c>
      <c r="P12" s="45">
        <f t="shared" si="3"/>
        <v>9.2678565500672384E+17</v>
      </c>
      <c r="Q12" s="44">
        <f t="shared" si="17"/>
        <v>8035.9687803410243</v>
      </c>
      <c r="R12" s="45">
        <f t="shared" si="4"/>
        <v>6406473777196.9922</v>
      </c>
      <c r="S12" s="45">
        <f t="shared" si="5"/>
        <v>6.749411237874665E+17</v>
      </c>
      <c r="T12" s="44">
        <f t="shared" si="18"/>
        <v>11250.356292477434</v>
      </c>
      <c r="U12" s="45">
        <f t="shared" si="19"/>
        <v>2922107030357.2134</v>
      </c>
      <c r="V12" s="45">
        <f t="shared" si="6"/>
        <v>4.2895809323124659E+17</v>
      </c>
      <c r="W12" s="44">
        <f t="shared" si="20"/>
        <v>14464.743804613843</v>
      </c>
      <c r="X12" s="45">
        <f t="shared" si="21"/>
        <v>1354237639284.8792</v>
      </c>
      <c r="Y12" s="45">
        <f t="shared" si="7"/>
        <v>2.5431117576827424E+17</v>
      </c>
      <c r="Z12" s="44">
        <f t="shared" si="22"/>
        <v>17679.131316750256</v>
      </c>
      <c r="AA12" s="45">
        <f t="shared" si="23"/>
        <v>632743194354.73669</v>
      </c>
      <c r="AB12" s="45">
        <f t="shared" si="8"/>
        <v>1.4447981125344064E+17</v>
      </c>
      <c r="AC12" s="44">
        <f t="shared" si="24"/>
        <v>20893.518828886667</v>
      </c>
      <c r="AD12" s="45">
        <f t="shared" si="25"/>
        <v>297042886345.08588</v>
      </c>
      <c r="AE12" s="45">
        <f t="shared" si="9"/>
        <v>7.974320029389152E+16</v>
      </c>
      <c r="AF12" s="44">
        <f t="shared" si="26"/>
        <v>24107.906341023074</v>
      </c>
      <c r="AG12" s="45">
        <f t="shared" si="27"/>
        <v>139868489878.93665</v>
      </c>
      <c r="AH12" s="45">
        <f t="shared" si="10"/>
        <v>4.3100975140504904E+16</v>
      </c>
    </row>
    <row r="13" spans="1:34" ht="15.75" x14ac:dyDescent="0.25">
      <c r="A13" s="3" t="s">
        <v>77</v>
      </c>
      <c r="B13" s="32">
        <v>11.6</v>
      </c>
      <c r="H13" s="34">
        <f t="shared" si="28"/>
        <v>1.4393743307666058</v>
      </c>
      <c r="I13" s="54">
        <f t="shared" si="0"/>
        <v>7.0881845616454445E-10</v>
      </c>
      <c r="J13" s="55">
        <f t="shared" si="13"/>
        <v>0.25440827712271219</v>
      </c>
      <c r="K13" s="44">
        <f t="shared" si="1"/>
        <v>1749.1671569305979</v>
      </c>
      <c r="L13" s="45">
        <f t="shared" si="14"/>
        <v>37495270078549.508</v>
      </c>
      <c r="M13" s="45">
        <f t="shared" si="15"/>
        <v>8.6033811846499418E+17</v>
      </c>
      <c r="N13" s="44">
        <f t="shared" si="16"/>
        <v>5247.5014707917944</v>
      </c>
      <c r="O13" s="45">
        <f t="shared" si="2"/>
        <v>12432639464150.57</v>
      </c>
      <c r="P13" s="45">
        <f t="shared" si="3"/>
        <v>8.5815835096054694E+17</v>
      </c>
      <c r="Q13" s="44">
        <f t="shared" si="17"/>
        <v>8745.8357846529889</v>
      </c>
      <c r="R13" s="45">
        <f t="shared" si="4"/>
        <v>4826136678402.5635</v>
      </c>
      <c r="S13" s="45">
        <f t="shared" si="5"/>
        <v>5.5281053070327878E+17</v>
      </c>
      <c r="T13" s="44">
        <f t="shared" si="18"/>
        <v>12244.170098514185</v>
      </c>
      <c r="U13" s="45">
        <f t="shared" si="19"/>
        <v>1943581951227.0706</v>
      </c>
      <c r="V13" s="45">
        <f t="shared" si="6"/>
        <v>3.1003834367229914E+17</v>
      </c>
      <c r="W13" s="44">
        <f t="shared" si="20"/>
        <v>15742.504412375381</v>
      </c>
      <c r="X13" s="45">
        <f t="shared" si="21"/>
        <v>794354303343.81519</v>
      </c>
      <c r="Y13" s="45">
        <f t="shared" si="7"/>
        <v>1.6201691002727923E+17</v>
      </c>
      <c r="Z13" s="44">
        <f t="shared" si="22"/>
        <v>19240.83872623658</v>
      </c>
      <c r="AA13" s="45">
        <f t="shared" si="23"/>
        <v>327092056055.63373</v>
      </c>
      <c r="AB13" s="45">
        <f t="shared" si="8"/>
        <v>8.1080683320919808E+16</v>
      </c>
      <c r="AC13" s="44">
        <f t="shared" si="24"/>
        <v>22739.173040097772</v>
      </c>
      <c r="AD13" s="45">
        <f t="shared" si="25"/>
        <v>135270826204.98792</v>
      </c>
      <c r="AE13" s="45">
        <f t="shared" si="9"/>
        <v>3.9404527520075192E+16</v>
      </c>
      <c r="AF13" s="44">
        <f t="shared" si="26"/>
        <v>26237.507353958968</v>
      </c>
      <c r="AG13" s="45">
        <f t="shared" si="27"/>
        <v>56095300146.860344</v>
      </c>
      <c r="AH13" s="45">
        <f t="shared" si="10"/>
        <v>1.8748522603737304E+16</v>
      </c>
    </row>
    <row r="14" spans="1:34" ht="15" x14ac:dyDescent="0.25">
      <c r="A14" s="3" t="s">
        <v>78</v>
      </c>
      <c r="B14" s="32">
        <v>2.5192064617378999E-10</v>
      </c>
      <c r="H14" s="34">
        <f t="shared" si="28"/>
        <v>1.3194264698693887</v>
      </c>
      <c r="I14" s="54">
        <f t="shared" si="0"/>
        <v>6.5121326878692139E-10</v>
      </c>
      <c r="J14" s="55">
        <f t="shared" si="13"/>
        <v>0.23268366263337129</v>
      </c>
      <c r="K14" s="44">
        <f t="shared" si="1"/>
        <v>1903.895425931426</v>
      </c>
      <c r="L14" s="45">
        <f t="shared" si="14"/>
        <v>35360962082670.898</v>
      </c>
      <c r="M14" s="45">
        <f t="shared" si="15"/>
        <v>8.8384991195783437E+17</v>
      </c>
      <c r="N14" s="44">
        <f t="shared" si="16"/>
        <v>5711.6862777942779</v>
      </c>
      <c r="O14" s="45">
        <f t="shared" si="2"/>
        <v>10173779757727.537</v>
      </c>
      <c r="P14" s="45">
        <f t="shared" si="3"/>
        <v>7.6401610512063565E+17</v>
      </c>
      <c r="Q14" s="44">
        <f t="shared" si="17"/>
        <v>9519.4771296571289</v>
      </c>
      <c r="R14" s="45">
        <f t="shared" si="4"/>
        <v>3399782873953.7783</v>
      </c>
      <c r="S14" s="45">
        <f t="shared" si="5"/>
        <v>4.234004726556201E+17</v>
      </c>
      <c r="T14" s="44">
        <f t="shared" si="18"/>
        <v>13327.267981519983</v>
      </c>
      <c r="U14" s="45">
        <f t="shared" si="19"/>
        <v>1175613321628.9089</v>
      </c>
      <c r="V14" s="45">
        <f t="shared" si="6"/>
        <v>2.037744031191528E+17</v>
      </c>
      <c r="W14" s="44">
        <f t="shared" si="20"/>
        <v>17135.058833382835</v>
      </c>
      <c r="X14" s="45">
        <f t="shared" si="21"/>
        <v>412062358923.65344</v>
      </c>
      <c r="Y14" s="45">
        <f t="shared" si="7"/>
        <v>9.1274249516927328E+16</v>
      </c>
      <c r="Z14" s="44">
        <f t="shared" si="22"/>
        <v>20942.849685245685</v>
      </c>
      <c r="AA14" s="45">
        <f t="shared" si="23"/>
        <v>145417212037.50146</v>
      </c>
      <c r="AB14" s="45">
        <f t="shared" si="8"/>
        <v>3.9127298496770256E+16</v>
      </c>
      <c r="AC14" s="44">
        <f t="shared" si="24"/>
        <v>24750.640537108538</v>
      </c>
      <c r="AD14" s="45">
        <f t="shared" si="25"/>
        <v>51519118824.435898</v>
      </c>
      <c r="AE14" s="45">
        <f t="shared" si="9"/>
        <v>1.6282177942267354E+16</v>
      </c>
      <c r="AF14" s="44">
        <f t="shared" si="26"/>
        <v>28558.431388971389</v>
      </c>
      <c r="AG14" s="45">
        <f t="shared" si="27"/>
        <v>18297463610.85236</v>
      </c>
      <c r="AH14" s="45">
        <f t="shared" si="10"/>
        <v>6631712046220421</v>
      </c>
    </row>
    <row r="15" spans="1:34" ht="15" x14ac:dyDescent="0.25">
      <c r="A15" s="3" t="s">
        <v>79</v>
      </c>
      <c r="B15" s="4">
        <v>0.01</v>
      </c>
      <c r="H15" s="34">
        <f t="shared" si="28"/>
        <v>1.1994786089721716</v>
      </c>
      <c r="I15" s="54">
        <f t="shared" si="0"/>
        <v>5.9861722813778733E-10</v>
      </c>
      <c r="J15" s="55">
        <f t="shared" si="13"/>
        <v>0.2091965655612559</v>
      </c>
      <c r="K15" s="44">
        <f t="shared" si="1"/>
        <v>2071.1765473343339</v>
      </c>
      <c r="L15" s="45">
        <f t="shared" si="14"/>
        <v>32829900750045.32</v>
      </c>
      <c r="M15" s="45">
        <f t="shared" si="15"/>
        <v>8.9330221371588173E+17</v>
      </c>
      <c r="N15" s="44">
        <f t="shared" si="16"/>
        <v>6213.5296420030018</v>
      </c>
      <c r="O15" s="45">
        <f t="shared" si="2"/>
        <v>7918653542401.2656</v>
      </c>
      <c r="P15" s="45">
        <f t="shared" si="3"/>
        <v>6.4655870129353344E+17</v>
      </c>
      <c r="Q15" s="44">
        <f t="shared" si="17"/>
        <v>10355.882736671671</v>
      </c>
      <c r="R15" s="45">
        <f t="shared" si="4"/>
        <v>2199661706033.0386</v>
      </c>
      <c r="S15" s="45">
        <f t="shared" si="5"/>
        <v>2.9763760942453318E+17</v>
      </c>
      <c r="T15" s="44">
        <f t="shared" si="18"/>
        <v>14498.235831340338</v>
      </c>
      <c r="U15" s="45">
        <f t="shared" si="19"/>
        <v>630590303723.16455</v>
      </c>
      <c r="V15" s="45">
        <f t="shared" si="6"/>
        <v>1.1868588770589646E+17</v>
      </c>
      <c r="W15" s="44">
        <f t="shared" si="20"/>
        <v>18640.588926009008</v>
      </c>
      <c r="X15" s="45">
        <f t="shared" si="21"/>
        <v>183019388228.20496</v>
      </c>
      <c r="Y15" s="45">
        <f t="shared" si="7"/>
        <v>4.399480326976348E+16</v>
      </c>
      <c r="Z15" s="44">
        <f t="shared" si="22"/>
        <v>22782.942020677674</v>
      </c>
      <c r="AA15" s="45">
        <f t="shared" si="23"/>
        <v>53445872497.395889</v>
      </c>
      <c r="AB15" s="45">
        <f t="shared" si="8"/>
        <v>1.5597700810043588E+16</v>
      </c>
      <c r="AC15" s="44">
        <f t="shared" si="24"/>
        <v>26925.295115346344</v>
      </c>
      <c r="AD15" s="45">
        <f t="shared" si="25"/>
        <v>15662324372.979546</v>
      </c>
      <c r="AE15" s="45">
        <f t="shared" si="9"/>
        <v>5366048842916163</v>
      </c>
      <c r="AF15" s="44">
        <f t="shared" si="26"/>
        <v>31067.64821001501</v>
      </c>
      <c r="AG15" s="45">
        <f t="shared" si="27"/>
        <v>4599953828.8810406</v>
      </c>
      <c r="AH15" s="45">
        <f t="shared" si="10"/>
        <v>1806432766224256.5</v>
      </c>
    </row>
    <row r="16" spans="1:34" ht="15" x14ac:dyDescent="0.25">
      <c r="A16" s="3" t="s">
        <v>80</v>
      </c>
      <c r="B16" s="4">
        <v>8.4666891478398995E-4</v>
      </c>
      <c r="D16" s="6"/>
      <c r="H16" s="34">
        <f t="shared" si="28"/>
        <v>1.0795307480749545</v>
      </c>
      <c r="I16" s="54">
        <f t="shared" si="0"/>
        <v>5.5103033421714226E-10</v>
      </c>
      <c r="J16" s="55">
        <f t="shared" si="13"/>
        <v>0.18408282621321029</v>
      </c>
      <c r="K16" s="44">
        <f t="shared" si="1"/>
        <v>2250.0430316794364</v>
      </c>
      <c r="L16" s="45">
        <f t="shared" si="14"/>
        <v>29865092247336.5</v>
      </c>
      <c r="M16" s="45">
        <f t="shared" si="15"/>
        <v>8.8331918406970995E+17</v>
      </c>
      <c r="N16" s="44">
        <f t="shared" si="16"/>
        <v>6750.1290950383082</v>
      </c>
      <c r="O16" s="45">
        <f t="shared" si="2"/>
        <v>5780072194955.375</v>
      </c>
      <c r="P16" s="45">
        <f t="shared" si="3"/>
        <v>5.1237321589201869E+17</v>
      </c>
      <c r="Q16" s="44">
        <f t="shared" si="17"/>
        <v>11250.215158397179</v>
      </c>
      <c r="R16" s="45">
        <f t="shared" si="4"/>
        <v>1276802094258.366</v>
      </c>
      <c r="S16" s="45">
        <f t="shared" si="5"/>
        <v>1.8742908259597069E+17</v>
      </c>
      <c r="T16" s="44">
        <f t="shared" si="18"/>
        <v>15750.301221756054</v>
      </c>
      <c r="U16" s="45">
        <f t="shared" si="19"/>
        <v>290283556820.85773</v>
      </c>
      <c r="V16" s="45">
        <f t="shared" si="6"/>
        <v>5.9234965023109544E+16</v>
      </c>
      <c r="W16" s="44">
        <f t="shared" si="20"/>
        <v>20250.387285114924</v>
      </c>
      <c r="X16" s="45">
        <f t="shared" si="21"/>
        <v>66735343346.053909</v>
      </c>
      <c r="Y16" s="45">
        <f t="shared" si="7"/>
        <v>1.7382161983611268E+16</v>
      </c>
      <c r="Z16" s="44">
        <f t="shared" si="22"/>
        <v>24750.473348473799</v>
      </c>
      <c r="AA16" s="45">
        <f t="shared" si="23"/>
        <v>15426791268.45595</v>
      </c>
      <c r="AB16" s="45">
        <f t="shared" si="8"/>
        <v>4875474138802614</v>
      </c>
      <c r="AC16" s="44">
        <f t="shared" si="24"/>
        <v>29250.559411832674</v>
      </c>
      <c r="AD16" s="45">
        <f t="shared" si="25"/>
        <v>3577266350.5284615</v>
      </c>
      <c r="AE16" s="45">
        <f t="shared" si="9"/>
        <v>1326492740160206.5</v>
      </c>
      <c r="AF16" s="44">
        <f t="shared" si="26"/>
        <v>33750.645475191544</v>
      </c>
      <c r="AG16" s="45">
        <f t="shared" si="27"/>
        <v>831136472.45584393</v>
      </c>
      <c r="AH16" s="45">
        <f t="shared" si="10"/>
        <v>353072656383477.81</v>
      </c>
    </row>
    <row r="17" spans="1:34" ht="15" x14ac:dyDescent="0.25">
      <c r="A17" s="3" t="s">
        <v>81</v>
      </c>
      <c r="B17" s="4">
        <v>1.357</v>
      </c>
      <c r="H17" s="34">
        <f t="shared" si="28"/>
        <v>0.95958288717773732</v>
      </c>
      <c r="I17" s="54">
        <f t="shared" si="0"/>
        <v>5.0845258702498609E-10</v>
      </c>
      <c r="J17" s="55">
        <f t="shared" si="13"/>
        <v>0.15762796709279955</v>
      </c>
      <c r="K17" s="44">
        <f t="shared" si="1"/>
        <v>2438.4613145617532</v>
      </c>
      <c r="L17" s="45">
        <f t="shared" si="14"/>
        <v>26452093924967.262</v>
      </c>
      <c r="M17" s="45">
        <f t="shared" si="15"/>
        <v>8.4828626179240806E+17</v>
      </c>
      <c r="N17" s="44">
        <f t="shared" si="16"/>
        <v>7315.3839436852595</v>
      </c>
      <c r="O17" s="45">
        <f t="shared" si="2"/>
        <v>3883258830018.4189</v>
      </c>
      <c r="P17" s="45">
        <f t="shared" si="3"/>
        <v>3.7278854128623373E+17</v>
      </c>
      <c r="Q17" s="44">
        <f t="shared" si="17"/>
        <v>12192.306572808764</v>
      </c>
      <c r="R17" s="45">
        <f t="shared" si="4"/>
        <v>644604298350.49841</v>
      </c>
      <c r="S17" s="45">
        <f t="shared" si="5"/>
        <v>1.0239940495186982E+17</v>
      </c>
      <c r="T17" s="44">
        <f t="shared" si="18"/>
        <v>17069.22920193227</v>
      </c>
      <c r="U17" s="45">
        <f t="shared" si="19"/>
        <v>109829096135.82487</v>
      </c>
      <c r="V17" s="45">
        <f t="shared" si="6"/>
        <v>2.423690214136208E+16</v>
      </c>
      <c r="W17" s="44">
        <f t="shared" si="20"/>
        <v>21946.15183105578</v>
      </c>
      <c r="X17" s="45">
        <f t="shared" si="21"/>
        <v>18900037991.074299</v>
      </c>
      <c r="Y17" s="45">
        <f t="shared" si="7"/>
        <v>5320407427215162</v>
      </c>
      <c r="Z17" s="44">
        <f t="shared" si="22"/>
        <v>26823.074460179287</v>
      </c>
      <c r="AA17" s="45">
        <f t="shared" si="23"/>
        <v>3268306810.9464869</v>
      </c>
      <c r="AB17" s="45">
        <f t="shared" si="8"/>
        <v>1115682502269915.1</v>
      </c>
      <c r="AC17" s="44">
        <f t="shared" si="24"/>
        <v>31699.997089302789</v>
      </c>
      <c r="AD17" s="45">
        <f t="shared" si="25"/>
        <v>566731767.24285948</v>
      </c>
      <c r="AE17" s="45">
        <f t="shared" si="9"/>
        <v>226860877536640.28</v>
      </c>
      <c r="AF17" s="44">
        <f t="shared" si="26"/>
        <v>36576.919718426296</v>
      </c>
      <c r="AG17" s="45">
        <f t="shared" si="27"/>
        <v>98440479.766373768</v>
      </c>
      <c r="AH17" s="45">
        <f t="shared" si="10"/>
        <v>45118461142484.82</v>
      </c>
    </row>
    <row r="18" spans="1:34" ht="15" x14ac:dyDescent="0.25">
      <c r="A18" s="3" t="s">
        <v>82</v>
      </c>
      <c r="B18" s="4">
        <v>1.6</v>
      </c>
      <c r="H18" s="34">
        <f t="shared" si="28"/>
        <v>0.83963502628052011</v>
      </c>
      <c r="I18" s="54">
        <f t="shared" si="0"/>
        <v>4.7088398656131892E-10</v>
      </c>
      <c r="J18" s="55">
        <f t="shared" si="13"/>
        <v>0.13031245312055031</v>
      </c>
      <c r="K18" s="44">
        <f t="shared" si="1"/>
        <v>2633.0094017495717</v>
      </c>
      <c r="L18" s="45">
        <f t="shared" si="14"/>
        <v>22615772322756.449</v>
      </c>
      <c r="M18" s="45">
        <f t="shared" si="15"/>
        <v>7.8340909155148339E+17</v>
      </c>
      <c r="N18" s="44">
        <f t="shared" si="16"/>
        <v>7899.0282052487146</v>
      </c>
      <c r="O18" s="45">
        <f t="shared" si="2"/>
        <v>2341241572694.3364</v>
      </c>
      <c r="P18" s="45">
        <f t="shared" si="3"/>
        <v>2.4249906273646858E+17</v>
      </c>
      <c r="Q18" s="44">
        <f t="shared" si="17"/>
        <v>13165.047008747857</v>
      </c>
      <c r="R18" s="45">
        <f t="shared" si="4"/>
        <v>271458179201.82986</v>
      </c>
      <c r="S18" s="45">
        <f t="shared" si="5"/>
        <v>4.6492252621799456E+16</v>
      </c>
      <c r="T18" s="44">
        <f t="shared" si="18"/>
        <v>18431.065812247001</v>
      </c>
      <c r="U18" s="45">
        <f t="shared" si="19"/>
        <v>32219918785.810223</v>
      </c>
      <c r="V18" s="45">
        <f t="shared" si="6"/>
        <v>7660665919211247</v>
      </c>
      <c r="W18" s="44">
        <f t="shared" si="20"/>
        <v>23697.084615746146</v>
      </c>
      <c r="X18" s="45">
        <f t="shared" si="21"/>
        <v>3858084890.8773031</v>
      </c>
      <c r="Y18" s="45">
        <f t="shared" si="7"/>
        <v>1169397839381463.5</v>
      </c>
      <c r="Z18" s="44">
        <f t="shared" si="22"/>
        <v>28963.10341924529</v>
      </c>
      <c r="AA18" s="45">
        <f t="shared" si="23"/>
        <v>463955072.82172877</v>
      </c>
      <c r="AB18" s="45">
        <f t="shared" si="8"/>
        <v>170427680148601.06</v>
      </c>
      <c r="AC18" s="44">
        <f t="shared" si="24"/>
        <v>34229.12222274443</v>
      </c>
      <c r="AD18" s="45">
        <f t="shared" si="25"/>
        <v>55927160.167936116</v>
      </c>
      <c r="AE18" s="45">
        <f t="shared" si="9"/>
        <v>24076837780520.309</v>
      </c>
      <c r="AF18" s="44">
        <f t="shared" si="26"/>
        <v>39495.141026243575</v>
      </c>
      <c r="AG18" s="45">
        <f t="shared" si="27"/>
        <v>6751712.4460584475</v>
      </c>
      <c r="AH18" s="45">
        <f t="shared" si="10"/>
        <v>3326184240774.5205</v>
      </c>
    </row>
    <row r="19" spans="1:34" ht="15" x14ac:dyDescent="0.25">
      <c r="A19" s="3" t="s">
        <v>83</v>
      </c>
      <c r="B19" s="37">
        <f>ABS(1/(B9*1000000000*B4/(B5*B6^2)))*1000</f>
        <v>0.17033298068619876</v>
      </c>
      <c r="H19" s="34">
        <f t="shared" si="28"/>
        <v>0.71968716538330291</v>
      </c>
      <c r="I19" s="54">
        <f t="shared" si="0"/>
        <v>4.3832453282614074E-10</v>
      </c>
      <c r="J19" s="55">
        <f t="shared" si="13"/>
        <v>0.10285146547862126</v>
      </c>
      <c r="K19" s="44">
        <f t="shared" si="1"/>
        <v>2828.5935896749111</v>
      </c>
      <c r="L19" s="45">
        <f t="shared" si="14"/>
        <v>18439955101096.063</v>
      </c>
      <c r="M19" s="45">
        <f t="shared" si="15"/>
        <v>6.8639160087684506E+17</v>
      </c>
      <c r="N19" s="44">
        <f t="shared" si="16"/>
        <v>8485.7807690247337</v>
      </c>
      <c r="O19" s="45">
        <f t="shared" si="2"/>
        <v>1222724613454.4956</v>
      </c>
      <c r="P19" s="45">
        <f t="shared" si="3"/>
        <v>1.3594286190653899E+17</v>
      </c>
      <c r="Q19" s="44">
        <f t="shared" si="17"/>
        <v>14142.967948374553</v>
      </c>
      <c r="R19" s="45">
        <f t="shared" si="4"/>
        <v>89951917754.0755</v>
      </c>
      <c r="S19" s="45">
        <f t="shared" si="5"/>
        <v>1.652468931813155E+16</v>
      </c>
      <c r="T19" s="44">
        <f t="shared" si="18"/>
        <v>19800.155127724378</v>
      </c>
      <c r="U19" s="45">
        <f t="shared" si="19"/>
        <v>6756761039.0325718</v>
      </c>
      <c r="V19" s="45">
        <f t="shared" si="6"/>
        <v>1722018740513007</v>
      </c>
      <c r="W19" s="44">
        <f t="shared" si="20"/>
        <v>25457.342307074203</v>
      </c>
      <c r="X19" s="45">
        <f t="shared" si="21"/>
        <v>511475241.6331296</v>
      </c>
      <c r="Y19" s="45">
        <f t="shared" si="7"/>
        <v>166073708300563.41</v>
      </c>
      <c r="Z19" s="44">
        <f t="shared" si="22"/>
        <v>31114.52948642402</v>
      </c>
      <c r="AA19" s="45">
        <f t="shared" si="23"/>
        <v>38862130.996561177</v>
      </c>
      <c r="AB19" s="45">
        <f t="shared" si="8"/>
        <v>15283308206606.688</v>
      </c>
      <c r="AC19" s="44">
        <f t="shared" si="24"/>
        <v>36771.716665773849</v>
      </c>
      <c r="AD19" s="45">
        <f t="shared" si="25"/>
        <v>2958903.2750327284</v>
      </c>
      <c r="AE19" s="45">
        <f t="shared" si="9"/>
        <v>1362966409229.6475</v>
      </c>
      <c r="AF19" s="44">
        <f t="shared" si="26"/>
        <v>42428.90384512367</v>
      </c>
      <c r="AG19" s="45">
        <f t="shared" si="27"/>
        <v>225574.51845454518</v>
      </c>
      <c r="AH19" s="45">
        <f t="shared" si="10"/>
        <v>118839412895.52058</v>
      </c>
    </row>
    <row r="20" spans="1:34" ht="15" x14ac:dyDescent="0.25">
      <c r="A20" s="3" t="s">
        <v>84</v>
      </c>
      <c r="B20" s="37">
        <f>1/B19*1000</f>
        <v>5870.853641916131</v>
      </c>
      <c r="H20" s="34">
        <f t="shared" si="28"/>
        <v>0.5997393044860857</v>
      </c>
      <c r="I20" s="54">
        <f t="shared" si="0"/>
        <v>4.1077422581945141E-10</v>
      </c>
      <c r="J20" s="55">
        <f t="shared" si="13"/>
        <v>7.6215022962069889E-2</v>
      </c>
      <c r="K20" s="44">
        <f t="shared" si="1"/>
        <v>3018.305156015856</v>
      </c>
      <c r="L20" s="45">
        <f t="shared" si="14"/>
        <v>14085572565464.465</v>
      </c>
      <c r="M20" s="45">
        <f t="shared" si="15"/>
        <v>5.5957675227617613E+17</v>
      </c>
      <c r="N20" s="44">
        <f t="shared" si="16"/>
        <v>9054.9154680475676</v>
      </c>
      <c r="O20" s="45">
        <f t="shared" si="2"/>
        <v>525134640952.00299</v>
      </c>
      <c r="P20" s="45">
        <f t="shared" si="3"/>
        <v>6.2249680776729984E+16</v>
      </c>
      <c r="Q20" s="44">
        <f t="shared" si="17"/>
        <v>15091.525780079279</v>
      </c>
      <c r="R20" s="45">
        <f t="shared" si="4"/>
        <v>21524758659.960869</v>
      </c>
      <c r="S20" s="45">
        <f t="shared" si="5"/>
        <v>4213049955040957.5</v>
      </c>
      <c r="T20" s="44">
        <f t="shared" si="18"/>
        <v>21128.136092110988</v>
      </c>
      <c r="U20" s="45">
        <f t="shared" si="19"/>
        <v>898685728.18243361</v>
      </c>
      <c r="V20" s="45">
        <f t="shared" si="6"/>
        <v>243874949277693.06</v>
      </c>
      <c r="W20" s="44">
        <f t="shared" si="20"/>
        <v>27164.746404142705</v>
      </c>
      <c r="X20" s="45">
        <f t="shared" si="21"/>
        <v>37775039.748642579</v>
      </c>
      <c r="Y20" s="45">
        <f t="shared" si="7"/>
        <v>13052133930285.281</v>
      </c>
      <c r="Z20" s="44">
        <f t="shared" si="22"/>
        <v>33201.356716174421</v>
      </c>
      <c r="AA20" s="45">
        <f t="shared" si="23"/>
        <v>1592937.0628119279</v>
      </c>
      <c r="AB20" s="45">
        <f t="shared" si="8"/>
        <v>666257287869.64734</v>
      </c>
      <c r="AC20" s="44">
        <f t="shared" si="24"/>
        <v>39237.967028206127</v>
      </c>
      <c r="AD20" s="45">
        <f t="shared" si="25"/>
        <v>67292.619065517414</v>
      </c>
      <c r="AE20" s="45">
        <f t="shared" si="9"/>
        <v>32948597247.555683</v>
      </c>
      <c r="AF20" s="44">
        <f t="shared" si="26"/>
        <v>45274.57734023784</v>
      </c>
      <c r="AG20" s="45">
        <f t="shared" si="27"/>
        <v>2845.8444450837546</v>
      </c>
      <c r="AH20" s="45">
        <f t="shared" si="10"/>
        <v>1592826416.7134712</v>
      </c>
    </row>
    <row r="21" spans="1:34" ht="15" x14ac:dyDescent="0.25">
      <c r="A21" s="3" t="s">
        <v>85</v>
      </c>
      <c r="B21" s="47">
        <v>1.84E-2</v>
      </c>
      <c r="H21" s="34">
        <f t="shared" si="28"/>
        <v>0.47979144358886855</v>
      </c>
      <c r="I21" s="54">
        <f t="shared" si="0"/>
        <v>3.8823306554125112E-10</v>
      </c>
      <c r="J21" s="55">
        <f t="shared" si="13"/>
        <v>5.1609686789614424E-2</v>
      </c>
      <c r="K21" s="44">
        <f t="shared" si="1"/>
        <v>3193.5506627204945</v>
      </c>
      <c r="L21" s="45">
        <f t="shared" si="14"/>
        <v>9799517275004.584</v>
      </c>
      <c r="M21" s="45">
        <f t="shared" si="15"/>
        <v>4.1195629859744013E+17</v>
      </c>
      <c r="N21" s="44">
        <f t="shared" si="16"/>
        <v>9580.651988161484</v>
      </c>
      <c r="O21" s="45">
        <f t="shared" si="2"/>
        <v>170740840068.5806</v>
      </c>
      <c r="P21" s="45">
        <f t="shared" si="3"/>
        <v>2.1398352372713492E+16</v>
      </c>
      <c r="Q21" s="44">
        <f t="shared" si="17"/>
        <v>15967.753313602472</v>
      </c>
      <c r="R21" s="45">
        <f t="shared" si="4"/>
        <v>3243641799.2963357</v>
      </c>
      <c r="S21" s="45">
        <f t="shared" si="5"/>
        <v>670798322519058.13</v>
      </c>
      <c r="T21" s="44">
        <f t="shared" si="18"/>
        <v>22354.85463904346</v>
      </c>
      <c r="U21" s="45">
        <f t="shared" si="19"/>
        <v>62631732.905580223</v>
      </c>
      <c r="V21" s="45">
        <f t="shared" si="6"/>
        <v>17947470870687.281</v>
      </c>
      <c r="W21" s="44">
        <f t="shared" si="20"/>
        <v>28741.955964484456</v>
      </c>
      <c r="X21" s="45">
        <f t="shared" si="21"/>
        <v>1216472.6390706317</v>
      </c>
      <c r="Y21" s="45">
        <f t="shared" si="7"/>
        <v>443599939045.34473</v>
      </c>
      <c r="Z21" s="44">
        <f t="shared" si="22"/>
        <v>35129.057289925448</v>
      </c>
      <c r="AA21" s="45">
        <f t="shared" si="23"/>
        <v>23692.676131646713</v>
      </c>
      <c r="AB21" s="45">
        <f t="shared" si="8"/>
        <v>10453079543.09627</v>
      </c>
      <c r="AC21" s="44">
        <f t="shared" si="24"/>
        <v>41516.158615366432</v>
      </c>
      <c r="AD21" s="45">
        <f t="shared" si="25"/>
        <v>462.15749742632573</v>
      </c>
      <c r="AE21" s="45">
        <f t="shared" si="9"/>
        <v>238577884.82127702</v>
      </c>
      <c r="AF21" s="44">
        <f t="shared" si="26"/>
        <v>47903.259940807417</v>
      </c>
      <c r="AG21" s="45">
        <f t="shared" si="27"/>
        <v>9.0234165462764917</v>
      </c>
      <c r="AH21" s="45">
        <f t="shared" si="10"/>
        <v>5322204.9320134157</v>
      </c>
    </row>
    <row r="22" spans="1:34" ht="15" x14ac:dyDescent="0.25">
      <c r="A22" s="3" t="s">
        <v>86</v>
      </c>
      <c r="B22" s="47">
        <v>1.9980000000000002E-3</v>
      </c>
      <c r="H22" s="34">
        <f t="shared" si="28"/>
        <v>0.3598435826916514</v>
      </c>
      <c r="I22" s="54">
        <f t="shared" si="0"/>
        <v>3.7070105199153979E-10</v>
      </c>
      <c r="J22" s="55">
        <f t="shared" si="13"/>
        <v>3.0403420973721347E-2</v>
      </c>
      <c r="K22" s="44">
        <f t="shared" si="1"/>
        <v>3344.5871196976473</v>
      </c>
      <c r="L22" s="45">
        <f t="shared" si="14"/>
        <v>5904490266392.7783</v>
      </c>
      <c r="M22" s="45">
        <f t="shared" si="15"/>
        <v>2.5997152385933901E+17</v>
      </c>
      <c r="N22" s="44">
        <f t="shared" si="16"/>
        <v>10033.761359092941</v>
      </c>
      <c r="O22" s="45">
        <f t="shared" si="2"/>
        <v>36215375560.413422</v>
      </c>
      <c r="P22" s="45">
        <f t="shared" si="3"/>
        <v>4750200112566437</v>
      </c>
      <c r="Q22" s="44">
        <f t="shared" si="17"/>
        <v>16722.935598488235</v>
      </c>
      <c r="R22" s="45">
        <f t="shared" si="4"/>
        <v>240478185.78284445</v>
      </c>
      <c r="S22" s="45">
        <f t="shared" si="5"/>
        <v>52020698751390.25</v>
      </c>
      <c r="T22" s="44">
        <f t="shared" si="18"/>
        <v>23412.109837883527</v>
      </c>
      <c r="U22" s="45">
        <f t="shared" si="19"/>
        <v>1620076.9378862327</v>
      </c>
      <c r="V22" s="45">
        <f t="shared" si="6"/>
        <v>485368457302.95319</v>
      </c>
      <c r="W22" s="44">
        <f t="shared" si="20"/>
        <v>30101.284077278822</v>
      </c>
      <c r="X22" s="45">
        <f t="shared" si="21"/>
        <v>10970.42310661062</v>
      </c>
      <c r="Y22" s="45">
        <f t="shared" si="7"/>
        <v>4180589759.0728269</v>
      </c>
      <c r="Z22" s="44">
        <f t="shared" si="22"/>
        <v>36790.458316674121</v>
      </c>
      <c r="AA22" s="45">
        <f t="shared" si="23"/>
        <v>74.465434406409159</v>
      </c>
      <c r="AB22" s="45">
        <f t="shared" si="8"/>
        <v>34317656.012243547</v>
      </c>
      <c r="AC22" s="44">
        <f t="shared" si="24"/>
        <v>43479.632556069409</v>
      </c>
      <c r="AD22" s="45">
        <f t="shared" si="25"/>
        <v>0.50612553339548894</v>
      </c>
      <c r="AE22" s="45">
        <f t="shared" si="9"/>
        <v>272801.8890065244</v>
      </c>
      <c r="AF22" s="44">
        <f t="shared" si="26"/>
        <v>50168.806795464698</v>
      </c>
      <c r="AG22" s="45">
        <f t="shared" si="27"/>
        <v>3.442779827899806E-3</v>
      </c>
      <c r="AH22" s="45">
        <f t="shared" si="10"/>
        <v>2119.3498027655264</v>
      </c>
    </row>
    <row r="23" spans="1:34" ht="15" x14ac:dyDescent="0.25">
      <c r="A23" s="3" t="s">
        <v>87</v>
      </c>
      <c r="B23" s="47">
        <v>1.3559999999999999E-2</v>
      </c>
      <c r="H23" s="34">
        <f t="shared" si="28"/>
        <v>0.23989572179443425</v>
      </c>
      <c r="I23" s="54">
        <f t="shared" si="0"/>
        <v>3.5817818517031745E-10</v>
      </c>
      <c r="J23" s="55">
        <f t="shared" si="13"/>
        <v>1.3985069264078862E-2</v>
      </c>
      <c r="K23" s="44">
        <f t="shared" si="1"/>
        <v>3461.5228260194413</v>
      </c>
      <c r="L23" s="45">
        <f t="shared" si="14"/>
        <v>2762451744778.5029</v>
      </c>
      <c r="M23" s="45">
        <f t="shared" si="15"/>
        <v>1.2588559134365544E+17</v>
      </c>
      <c r="N23" s="44">
        <f t="shared" si="16"/>
        <v>10384.568478058323</v>
      </c>
      <c r="O23" s="45">
        <f t="shared" si="2"/>
        <v>3620053060.2418833</v>
      </c>
      <c r="P23" s="45">
        <f t="shared" si="3"/>
        <v>491167208045381.56</v>
      </c>
      <c r="Q23" s="44">
        <f t="shared" si="17"/>
        <v>17307.614130097205</v>
      </c>
      <c r="R23" s="45">
        <f t="shared" si="4"/>
        <v>5107679.8385084393</v>
      </c>
      <c r="S23" s="45">
        <f t="shared" si="5"/>
        <v>1142456888117.3298</v>
      </c>
      <c r="T23" s="44">
        <f t="shared" si="18"/>
        <v>24230.659782136085</v>
      </c>
      <c r="U23" s="45">
        <f t="shared" si="19"/>
        <v>7301.428080842009</v>
      </c>
      <c r="V23" s="45">
        <f t="shared" si="6"/>
        <v>2260969880.3364596</v>
      </c>
      <c r="W23" s="44">
        <f t="shared" si="20"/>
        <v>31153.705434174972</v>
      </c>
      <c r="X23" s="45">
        <f t="shared" si="21"/>
        <v>10.485229565835793</v>
      </c>
      <c r="Y23" s="45">
        <f t="shared" si="7"/>
        <v>4128459.9733891683</v>
      </c>
      <c r="Z23" s="44">
        <f t="shared" si="22"/>
        <v>38076.751086213859</v>
      </c>
      <c r="AA23" s="45">
        <f t="shared" si="23"/>
        <v>1.5089347908490622E-2</v>
      </c>
      <c r="AB23" s="45">
        <f t="shared" si="8"/>
        <v>7182.6028589770794</v>
      </c>
      <c r="AC23" s="44">
        <f t="shared" si="24"/>
        <v>44999.796738252735</v>
      </c>
      <c r="AD23" s="45">
        <f t="shared" si="25"/>
        <v>2.1740312559270768E-5</v>
      </c>
      <c r="AE23" s="45">
        <f t="shared" si="9"/>
        <v>12.099365719863879</v>
      </c>
      <c r="AF23" s="44">
        <f t="shared" si="26"/>
        <v>51922.842390291611</v>
      </c>
      <c r="AG23" s="45">
        <f t="shared" si="27"/>
        <v>3.134477487625802E-8</v>
      </c>
      <c r="AH23" s="45">
        <f t="shared" si="10"/>
        <v>1.991734681764136E-2</v>
      </c>
    </row>
    <row r="24" spans="1:34" ht="15" x14ac:dyDescent="0.25">
      <c r="A24" s="3" t="s">
        <v>88</v>
      </c>
      <c r="B24" s="47">
        <v>1.2489999999999999E-3</v>
      </c>
      <c r="H24" s="34">
        <f t="shared" si="28"/>
        <v>0.11994786089721708</v>
      </c>
      <c r="I24" s="54">
        <f t="shared" si="0"/>
        <v>3.5066446507758395E-10</v>
      </c>
      <c r="J24" s="55">
        <f t="shared" si="13"/>
        <v>3.5711821608304995E-3</v>
      </c>
      <c r="K24" s="44">
        <f t="shared" si="1"/>
        <v>3535.6931974129702</v>
      </c>
      <c r="L24" s="45">
        <f t="shared" si="14"/>
        <v>712893364729.19861</v>
      </c>
      <c r="M24" s="45">
        <f t="shared" si="15"/>
        <v>3.3183193913887624E+16</v>
      </c>
      <c r="N24" s="44">
        <f t="shared" si="16"/>
        <v>10607.079592238912</v>
      </c>
      <c r="O24" s="45">
        <f t="shared" si="2"/>
        <v>61258370.675616652</v>
      </c>
      <c r="P24" s="45">
        <f t="shared" si="3"/>
        <v>8486739219249.9922</v>
      </c>
      <c r="Q24" s="44">
        <f t="shared" si="17"/>
        <v>17678.46598706485</v>
      </c>
      <c r="R24" s="45">
        <f t="shared" si="4"/>
        <v>5647.8854204336703</v>
      </c>
      <c r="S24" s="45">
        <f t="shared" si="5"/>
        <v>1289584136.7445021</v>
      </c>
      <c r="T24" s="44">
        <f t="shared" si="18"/>
        <v>24749.852381890792</v>
      </c>
      <c r="U24" s="45">
        <f t="shared" si="19"/>
        <v>0.52711230014930377</v>
      </c>
      <c r="V24" s="45">
        <f t="shared" si="6"/>
        <v>166584.25189871446</v>
      </c>
      <c r="W24" s="44">
        <f t="shared" si="20"/>
        <v>31821.238776716735</v>
      </c>
      <c r="X24" s="45">
        <f t="shared" si="21"/>
        <v>4.9403162727020025E-5</v>
      </c>
      <c r="Y24" s="45">
        <f t="shared" si="7"/>
        <v>19.847733707118959</v>
      </c>
      <c r="Z24" s="44">
        <f t="shared" si="22"/>
        <v>38892.625171542677</v>
      </c>
      <c r="AA24" s="45">
        <f t="shared" si="23"/>
        <v>4.6393042820108619E-9</v>
      </c>
      <c r="AB24" s="45">
        <f t="shared" si="8"/>
        <v>2.2527726425133148E-3</v>
      </c>
      <c r="AC24" s="44">
        <f t="shared" si="24"/>
        <v>45964.011566368616</v>
      </c>
      <c r="AD24" s="45">
        <f t="shared" si="25"/>
        <v>4.3612436845357845E-13</v>
      </c>
      <c r="AE24" s="45">
        <f t="shared" si="9"/>
        <v>2.4755497646382668E-7</v>
      </c>
      <c r="AF24" s="44">
        <f t="shared" si="26"/>
        <v>53035.397961194554</v>
      </c>
      <c r="AG24" s="45">
        <f t="shared" si="27"/>
        <v>4.1024639904882223E-17</v>
      </c>
      <c r="AH24" s="45">
        <f t="shared" si="10"/>
        <v>2.6582194772778062E-11</v>
      </c>
    </row>
    <row r="25" spans="1:34" x14ac:dyDescent="0.2">
      <c r="H25" s="34"/>
      <c r="I25" s="34"/>
      <c r="J25" s="44"/>
      <c r="K25" s="44"/>
      <c r="L25" s="45"/>
      <c r="M25" s="45"/>
      <c r="N25" s="44"/>
      <c r="O25" s="45"/>
      <c r="P25" s="45"/>
      <c r="Q25" s="44"/>
      <c r="R25" s="45"/>
      <c r="S25" s="45"/>
      <c r="T25" s="44"/>
      <c r="U25" s="45"/>
      <c r="V25" s="45"/>
      <c r="W25" s="44"/>
      <c r="X25" s="45"/>
      <c r="Y25" s="45"/>
    </row>
    <row r="27" spans="1:34" ht="15" x14ac:dyDescent="0.25">
      <c r="A27" s="3" t="s">
        <v>24</v>
      </c>
      <c r="B27" s="38">
        <f>'Create Undulator Magnet'!B18</f>
        <v>1.0705092584846654</v>
      </c>
    </row>
    <row r="28" spans="1:34" ht="15" x14ac:dyDescent="0.25">
      <c r="A28" s="3" t="s">
        <v>23</v>
      </c>
      <c r="B28" s="38">
        <f>'Create Undulator Magnet'!B12</f>
        <v>24</v>
      </c>
    </row>
    <row r="29" spans="1:34" ht="15" x14ac:dyDescent="0.25">
      <c r="A29" s="3" t="s">
        <v>25</v>
      </c>
      <c r="B29" s="38">
        <f>'Create Undulator Magnet'!B14</f>
        <v>7.5</v>
      </c>
    </row>
    <row r="30" spans="1:34" ht="15" x14ac:dyDescent="0.25">
      <c r="A30" s="3" t="s">
        <v>101</v>
      </c>
      <c r="B30" s="37">
        <f>B31*B28</f>
        <v>24</v>
      </c>
    </row>
    <row r="31" spans="1:34" ht="15" x14ac:dyDescent="0.25">
      <c r="A31" s="3" t="s">
        <v>67</v>
      </c>
      <c r="B31" s="39">
        <f>'Create Undulator Magnet'!B13</f>
        <v>1</v>
      </c>
    </row>
    <row r="32" spans="1:34" ht="15" x14ac:dyDescent="0.25">
      <c r="A32" s="3" t="s">
        <v>68</v>
      </c>
      <c r="B32" s="37">
        <f>'Create Undulator Magnet'!B19</f>
        <v>2.3989572179443432</v>
      </c>
      <c r="C32" s="38"/>
    </row>
    <row r="33" spans="1:12" x14ac:dyDescent="0.2">
      <c r="L33" s="6"/>
    </row>
    <row r="34" spans="1:12" ht="15" x14ac:dyDescent="0.25">
      <c r="A34" s="3" t="s">
        <v>89</v>
      </c>
      <c r="B34" s="38">
        <f>632.8*B9^2*B27^2*B10*B31*(B28/1000)</f>
        <v>54.823798351643198</v>
      </c>
    </row>
    <row r="35" spans="1:12" ht="15" x14ac:dyDescent="0.25">
      <c r="A35" s="35" t="s">
        <v>90</v>
      </c>
      <c r="B35" s="38">
        <f>((B28/1000)/(2*B20^2)*(1+B32^2/2))*1000000000</f>
        <v>1.3499892374111309</v>
      </c>
    </row>
    <row r="36" spans="1:12" x14ac:dyDescent="0.2">
      <c r="G36" s="56"/>
    </row>
  </sheetData>
  <mergeCells count="8">
    <mergeCell ref="I3:M3"/>
    <mergeCell ref="W3:Y3"/>
    <mergeCell ref="Z3:AB3"/>
    <mergeCell ref="AC3:AE3"/>
    <mergeCell ref="AF3:AH3"/>
    <mergeCell ref="N3:P3"/>
    <mergeCell ref="Q3:S3"/>
    <mergeCell ref="T3:V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7"/>
  <sheetViews>
    <sheetView workbookViewId="0">
      <selection activeCell="D27" sqref="D27"/>
    </sheetView>
  </sheetViews>
  <sheetFormatPr defaultRowHeight="12.75" x14ac:dyDescent="0.2"/>
  <cols>
    <col min="1" max="1" width="43" bestFit="1" customWidth="1"/>
    <col min="2" max="2" width="26.85546875" bestFit="1" customWidth="1"/>
    <col min="3" max="3" width="4.5703125" customWidth="1"/>
    <col min="4" max="4" width="24.42578125" bestFit="1" customWidth="1"/>
  </cols>
  <sheetData>
    <row r="1" spans="1:20" ht="15.75" x14ac:dyDescent="0.25">
      <c r="A1" s="1" t="s">
        <v>15</v>
      </c>
      <c r="E1" s="65" t="s">
        <v>97</v>
      </c>
      <c r="F1" s="65"/>
      <c r="G1" s="65"/>
      <c r="H1" s="65"/>
      <c r="I1" s="65"/>
      <c r="J1" s="65"/>
      <c r="K1" s="65"/>
      <c r="L1" s="52"/>
      <c r="M1" s="65" t="s">
        <v>60</v>
      </c>
      <c r="N1" s="65"/>
      <c r="O1" s="65"/>
      <c r="P1" s="65"/>
      <c r="Q1" s="65"/>
      <c r="R1" s="65"/>
      <c r="S1" s="65"/>
      <c r="T1" s="52"/>
    </row>
    <row r="2" spans="1:20" ht="15.75" x14ac:dyDescent="0.25">
      <c r="A2" s="1"/>
      <c r="E2" s="6" t="s">
        <v>42</v>
      </c>
      <c r="F2" s="6" t="s">
        <v>43</v>
      </c>
      <c r="G2" s="51" t="s">
        <v>54</v>
      </c>
      <c r="H2" s="51" t="s">
        <v>42</v>
      </c>
      <c r="I2" s="51" t="s">
        <v>43</v>
      </c>
      <c r="J2" s="51" t="s">
        <v>56</v>
      </c>
      <c r="M2" s="6"/>
      <c r="N2" s="6"/>
    </row>
    <row r="3" spans="1:20" ht="14.25" x14ac:dyDescent="0.2">
      <c r="A3" s="48" t="s">
        <v>98</v>
      </c>
      <c r="D3" s="2" t="s">
        <v>33</v>
      </c>
      <c r="E3">
        <f>B7/2*-1</f>
        <v>-3.1850000000000001</v>
      </c>
      <c r="F3">
        <f>B6/2*-1</f>
        <v>-1.91</v>
      </c>
      <c r="G3" s="8">
        <f>B7/2</f>
        <v>3.1850000000000001</v>
      </c>
      <c r="H3" s="8">
        <f>G3*-1</f>
        <v>-3.1850000000000001</v>
      </c>
      <c r="I3" s="8">
        <f t="shared" ref="I3:I24" si="0">SQRT((1-(H3)^2/$G$3^2)*$G$5^2)</f>
        <v>0</v>
      </c>
      <c r="J3" s="8">
        <f t="shared" ref="J3:J24" si="1">-SQRT((1-(H3)^2/$G$3^2)*$G$5^2)</f>
        <v>0</v>
      </c>
      <c r="M3" s="6" t="s">
        <v>58</v>
      </c>
      <c r="N3" s="6" t="s">
        <v>42</v>
      </c>
      <c r="O3" s="6" t="s">
        <v>43</v>
      </c>
      <c r="P3" s="6" t="s">
        <v>42</v>
      </c>
      <c r="Q3" s="6" t="s">
        <v>43</v>
      </c>
    </row>
    <row r="4" spans="1:20" ht="15" x14ac:dyDescent="0.25">
      <c r="A4" s="3" t="s">
        <v>37</v>
      </c>
      <c r="B4" s="27" t="s">
        <v>34</v>
      </c>
      <c r="D4" s="5" t="s">
        <v>34</v>
      </c>
      <c r="E4">
        <f>B7/2</f>
        <v>3.1850000000000001</v>
      </c>
      <c r="F4">
        <f>B6/2*-1</f>
        <v>-1.91</v>
      </c>
      <c r="G4" s="51" t="s">
        <v>55</v>
      </c>
      <c r="H4" s="8">
        <f t="shared" ref="H4:H24" si="2">H3+$G$3*2/21</f>
        <v>-2.8816666666666668</v>
      </c>
      <c r="I4" s="8">
        <f t="shared" si="0"/>
        <v>0.81350282609992342</v>
      </c>
      <c r="J4" s="8">
        <f t="shared" si="1"/>
        <v>-0.81350282609992342</v>
      </c>
      <c r="M4">
        <f>B14/7</f>
        <v>1.0714285714285714</v>
      </c>
      <c r="N4">
        <v>-2.75</v>
      </c>
      <c r="O4">
        <v>0</v>
      </c>
      <c r="P4">
        <f t="shared" ref="P4:P18" si="3">N4*$M$4</f>
        <v>-2.9464285714285712</v>
      </c>
      <c r="Q4">
        <f t="shared" ref="Q4:Q18" si="4">O4*$M$4</f>
        <v>0</v>
      </c>
    </row>
    <row r="5" spans="1:20" ht="14.25" x14ac:dyDescent="0.2">
      <c r="A5" s="24" t="s">
        <v>36</v>
      </c>
      <c r="D5" s="5" t="s">
        <v>35</v>
      </c>
      <c r="E5">
        <f>B7/2</f>
        <v>3.1850000000000001</v>
      </c>
      <c r="F5">
        <f>B6/2</f>
        <v>1.91</v>
      </c>
      <c r="G5" s="8">
        <f>B6/2</f>
        <v>1.91</v>
      </c>
      <c r="H5" s="8">
        <f t="shared" si="2"/>
        <v>-2.5783333333333336</v>
      </c>
      <c r="I5" s="8">
        <f t="shared" si="0"/>
        <v>1.1213362614924518</v>
      </c>
      <c r="J5" s="8">
        <f t="shared" si="1"/>
        <v>-1.1213362614924518</v>
      </c>
      <c r="N5">
        <v>2.75</v>
      </c>
      <c r="O5">
        <v>0</v>
      </c>
      <c r="P5">
        <f t="shared" si="3"/>
        <v>2.9464285714285712</v>
      </c>
      <c r="Q5">
        <f t="shared" si="4"/>
        <v>0</v>
      </c>
    </row>
    <row r="6" spans="1:20" ht="15" x14ac:dyDescent="0.25">
      <c r="A6" s="25" t="s">
        <v>40</v>
      </c>
      <c r="B6" s="26">
        <f>IF(B4=D4,ROUNDUP((-0.045*(B23/2/1000)^3+0.3642*(B23/2/1000)^2+0.0265*(B23/2/1000)+1.9042)*2,2),ROUNDUP((-0.008*(B23/2/1000)^3 + 0.1233*(B23/2/1000)^2 - 0.0051*(B23/2/1000) + 2.8442)*2,2))</f>
        <v>3.82</v>
      </c>
      <c r="D6" s="5"/>
      <c r="E6">
        <f>B7/2*-1</f>
        <v>-3.1850000000000001</v>
      </c>
      <c r="F6">
        <f>B6/2</f>
        <v>1.91</v>
      </c>
      <c r="G6" s="8"/>
      <c r="H6" s="8">
        <f t="shared" si="2"/>
        <v>-2.2750000000000004</v>
      </c>
      <c r="I6" s="8">
        <f t="shared" si="0"/>
        <v>1.3367215453473913</v>
      </c>
      <c r="J6" s="8">
        <f t="shared" si="1"/>
        <v>-1.3367215453473913</v>
      </c>
      <c r="N6">
        <v>11.25</v>
      </c>
      <c r="O6">
        <v>9.5</v>
      </c>
      <c r="P6">
        <f t="shared" si="3"/>
        <v>12.053571428571429</v>
      </c>
      <c r="Q6">
        <f t="shared" si="4"/>
        <v>10.178571428571429</v>
      </c>
    </row>
    <row r="7" spans="1:20" ht="15" x14ac:dyDescent="0.25">
      <c r="A7" s="25" t="s">
        <v>41</v>
      </c>
      <c r="B7" s="26">
        <f>IF(B4=D4,ROUNDUP((-0.1034*(B23/2/1000)^3+0.7783*(B23/2/1000)^2+0.109*(B23/2/1000)+3.1763)*2,2),ROUNDUP((-0.00008*(B23/2/1000)^3 + 0.0184*(B23/2/1000)^2 - 0.00008*(B23/2/1000) + 11.542)*2,2))</f>
        <v>6.37</v>
      </c>
      <c r="D7" s="2" t="s">
        <v>5</v>
      </c>
      <c r="E7">
        <f>B7/2*-1</f>
        <v>-3.1850000000000001</v>
      </c>
      <c r="F7">
        <f>B6/2*-1</f>
        <v>-1.91</v>
      </c>
      <c r="G7" s="8"/>
      <c r="H7" s="8">
        <f t="shared" si="2"/>
        <v>-1.9716666666666671</v>
      </c>
      <c r="I7" s="8">
        <f t="shared" si="0"/>
        <v>1.5000250942723297</v>
      </c>
      <c r="J7" s="8">
        <f t="shared" si="1"/>
        <v>-1.5000250942723297</v>
      </c>
      <c r="N7">
        <f>N6</f>
        <v>11.25</v>
      </c>
      <c r="O7">
        <v>15.75</v>
      </c>
      <c r="P7">
        <f t="shared" si="3"/>
        <v>12.053571428571429</v>
      </c>
      <c r="Q7">
        <f t="shared" si="4"/>
        <v>16.875</v>
      </c>
    </row>
    <row r="8" spans="1:20" x14ac:dyDescent="0.2">
      <c r="D8" s="5" t="s">
        <v>0</v>
      </c>
      <c r="G8" s="8"/>
      <c r="H8" s="8">
        <f t="shared" si="2"/>
        <v>-1.6683333333333339</v>
      </c>
      <c r="I8" s="8">
        <f t="shared" si="0"/>
        <v>1.6270056521998468</v>
      </c>
      <c r="J8" s="8">
        <f t="shared" si="1"/>
        <v>-1.6270056521998468</v>
      </c>
      <c r="N8">
        <f>N7-2.75</f>
        <v>8.5</v>
      </c>
      <c r="O8">
        <v>18.5</v>
      </c>
      <c r="P8">
        <f t="shared" si="3"/>
        <v>9.1071428571428577</v>
      </c>
      <c r="Q8">
        <f t="shared" si="4"/>
        <v>19.821428571428569</v>
      </c>
    </row>
    <row r="9" spans="1:20" ht="15" x14ac:dyDescent="0.25">
      <c r="A9" s="3" t="s">
        <v>16</v>
      </c>
      <c r="B9" s="27" t="s">
        <v>2</v>
      </c>
      <c r="D9" s="5" t="s">
        <v>1</v>
      </c>
      <c r="E9" s="6" t="s">
        <v>44</v>
      </c>
      <c r="F9" s="6" t="s">
        <v>45</v>
      </c>
      <c r="G9" s="8"/>
      <c r="H9" s="8">
        <f t="shared" si="2"/>
        <v>-1.3650000000000007</v>
      </c>
      <c r="I9" s="8">
        <f t="shared" si="0"/>
        <v>1.7257000945490297</v>
      </c>
      <c r="J9" s="8">
        <f t="shared" si="1"/>
        <v>-1.7257000945490297</v>
      </c>
      <c r="N9">
        <f>N8+2.75</f>
        <v>11.25</v>
      </c>
      <c r="O9">
        <v>21.25</v>
      </c>
      <c r="P9">
        <f t="shared" si="3"/>
        <v>12.053571428571429</v>
      </c>
      <c r="Q9">
        <f t="shared" si="4"/>
        <v>22.767857142857142</v>
      </c>
    </row>
    <row r="10" spans="1:20" ht="15" x14ac:dyDescent="0.25">
      <c r="A10" s="3"/>
      <c r="B10" s="4"/>
      <c r="D10" s="5" t="s">
        <v>2</v>
      </c>
      <c r="E10">
        <f>B14</f>
        <v>7.5</v>
      </c>
      <c r="F10">
        <f>5.5/7*B14</f>
        <v>5.8928571428571423</v>
      </c>
      <c r="G10" s="8"/>
      <c r="H10" s="8">
        <f t="shared" si="2"/>
        <v>-1.0616666666666674</v>
      </c>
      <c r="I10" s="8">
        <f t="shared" si="0"/>
        <v>1.8007652694217409</v>
      </c>
      <c r="J10" s="8">
        <f t="shared" si="1"/>
        <v>-1.8007652694217409</v>
      </c>
      <c r="N10">
        <f>N9</f>
        <v>11.25</v>
      </c>
      <c r="O10">
        <v>24.5</v>
      </c>
      <c r="P10">
        <f t="shared" si="3"/>
        <v>12.053571428571429</v>
      </c>
      <c r="Q10">
        <f t="shared" si="4"/>
        <v>26.25</v>
      </c>
    </row>
    <row r="11" spans="1:20" ht="14.25" x14ac:dyDescent="0.2">
      <c r="A11" s="48" t="s">
        <v>99</v>
      </c>
      <c r="D11" s="5" t="s">
        <v>3</v>
      </c>
      <c r="E11" s="6" t="s">
        <v>46</v>
      </c>
      <c r="F11" s="6" t="s">
        <v>47</v>
      </c>
      <c r="G11" s="8"/>
      <c r="H11" s="8">
        <f t="shared" si="2"/>
        <v>-0.75833333333333408</v>
      </c>
      <c r="I11" s="8">
        <f t="shared" si="0"/>
        <v>1.8550718611356607</v>
      </c>
      <c r="J11" s="8">
        <f t="shared" si="1"/>
        <v>-1.8550718611356607</v>
      </c>
      <c r="N11">
        <f>N10-0.5</f>
        <v>10.75</v>
      </c>
      <c r="O11">
        <v>25</v>
      </c>
      <c r="P11">
        <f t="shared" si="3"/>
        <v>11.517857142857142</v>
      </c>
      <c r="Q11">
        <f t="shared" si="4"/>
        <v>26.785714285714285</v>
      </c>
    </row>
    <row r="12" spans="1:20" ht="15" x14ac:dyDescent="0.25">
      <c r="A12" s="3" t="s">
        <v>7</v>
      </c>
      <c r="B12" s="4">
        <v>24</v>
      </c>
      <c r="D12" s="5" t="s">
        <v>4</v>
      </c>
      <c r="E12" s="7">
        <f>(E10/2)*COS(RADIANS(-45))+(-F10/2)*SIN(RADIANS(-45))</f>
        <v>4.7350900525884878</v>
      </c>
      <c r="F12" s="7">
        <f>-(E10/2)*SIN(RADIANS(-45))+(-F10)/2*COS(RADIANS(-45))</f>
        <v>0.56821080631061838</v>
      </c>
      <c r="G12" s="8"/>
      <c r="H12" s="8">
        <f t="shared" si="2"/>
        <v>-0.45500000000000074</v>
      </c>
      <c r="I12" s="8">
        <f t="shared" si="0"/>
        <v>1.8904097385466032</v>
      </c>
      <c r="J12" s="8">
        <f t="shared" si="1"/>
        <v>-1.8904097385466032</v>
      </c>
      <c r="N12">
        <f>-1*N11+0.5</f>
        <v>-10.25</v>
      </c>
      <c r="O12">
        <v>25</v>
      </c>
      <c r="P12">
        <f t="shared" si="3"/>
        <v>-10.982142857142858</v>
      </c>
      <c r="Q12">
        <f t="shared" si="4"/>
        <v>26.785714285714285</v>
      </c>
    </row>
    <row r="13" spans="1:20" ht="15" x14ac:dyDescent="0.25">
      <c r="A13" s="3" t="s">
        <v>8</v>
      </c>
      <c r="B13" s="4">
        <v>1</v>
      </c>
      <c r="C13" s="6"/>
      <c r="E13" s="7">
        <f>(E10/2)*COS(RADIANS(-45))+(F10/2)*SIN(RADIANS(-45))</f>
        <v>0.56821080631061882</v>
      </c>
      <c r="F13" s="7">
        <f>-(E10/2)*SIN(RADIANS(-45))+(F10/2)*COS(RADIANS(-45))</f>
        <v>4.7350900525884878</v>
      </c>
      <c r="G13" s="8"/>
      <c r="H13" s="8">
        <f t="shared" si="2"/>
        <v>-0.15166666666666739</v>
      </c>
      <c r="I13" s="8">
        <f t="shared" si="0"/>
        <v>1.9078332380999898</v>
      </c>
      <c r="J13" s="8">
        <f t="shared" si="1"/>
        <v>-1.9078332380999898</v>
      </c>
      <c r="N13">
        <f>N12-0.5</f>
        <v>-10.75</v>
      </c>
      <c r="O13">
        <v>24.5</v>
      </c>
      <c r="P13">
        <f t="shared" si="3"/>
        <v>-11.517857142857142</v>
      </c>
      <c r="Q13">
        <f t="shared" si="4"/>
        <v>26.25</v>
      </c>
    </row>
    <row r="14" spans="1:20" ht="15" x14ac:dyDescent="0.25">
      <c r="A14" s="3" t="s">
        <v>9</v>
      </c>
      <c r="B14" s="4">
        <v>7.5</v>
      </c>
      <c r="D14" s="2" t="s">
        <v>6</v>
      </c>
      <c r="E14" s="28" t="s">
        <v>48</v>
      </c>
      <c r="F14" s="28" t="s">
        <v>49</v>
      </c>
      <c r="G14" s="8"/>
      <c r="H14" s="8">
        <f t="shared" si="2"/>
        <v>0.15166666666666595</v>
      </c>
      <c r="I14" s="8">
        <f t="shared" si="0"/>
        <v>1.9078332380999901</v>
      </c>
      <c r="J14" s="8">
        <f t="shared" si="1"/>
        <v>-1.9078332380999901</v>
      </c>
      <c r="N14">
        <f>N13</f>
        <v>-10.75</v>
      </c>
      <c r="O14">
        <v>21.25</v>
      </c>
      <c r="P14">
        <f t="shared" si="3"/>
        <v>-11.517857142857142</v>
      </c>
      <c r="Q14">
        <f t="shared" si="4"/>
        <v>22.767857142857142</v>
      </c>
    </row>
    <row r="15" spans="1:20" ht="15" x14ac:dyDescent="0.25">
      <c r="A15" s="3" t="s">
        <v>10</v>
      </c>
      <c r="B15" s="4">
        <v>0.1</v>
      </c>
      <c r="D15" s="5" t="s">
        <v>19</v>
      </c>
      <c r="E15" s="7">
        <f>(-E10/2)*COS(RADIANS(45))+(-F10/2)*SIN(RADIANS(45))</f>
        <v>-4.7350900525884878</v>
      </c>
      <c r="F15" s="7">
        <f>-(E10/2)*SIN(RADIANS(-45))+(-F10)/2*COS(RADIANS(-45))</f>
        <v>0.56821080631061838</v>
      </c>
      <c r="G15" s="8"/>
      <c r="H15" s="8">
        <f t="shared" si="2"/>
        <v>0.45499999999999929</v>
      </c>
      <c r="I15" s="8">
        <f t="shared" si="0"/>
        <v>1.8904097385466032</v>
      </c>
      <c r="J15" s="8">
        <f t="shared" si="1"/>
        <v>-1.8904097385466032</v>
      </c>
      <c r="N15">
        <f>N14+2.75</f>
        <v>-8</v>
      </c>
      <c r="O15">
        <v>18.5</v>
      </c>
      <c r="P15">
        <f t="shared" si="3"/>
        <v>-8.5714285714285712</v>
      </c>
      <c r="Q15">
        <f t="shared" si="4"/>
        <v>19.821428571428569</v>
      </c>
    </row>
    <row r="16" spans="1:20" ht="15" x14ac:dyDescent="0.25">
      <c r="A16" s="3" t="s">
        <v>93</v>
      </c>
      <c r="B16" s="36">
        <f>(1.96*EXP((-0.82*(B14/B12)+-3.31*(B14/B12)^2)))</f>
        <v>1.097958213830426</v>
      </c>
      <c r="C16" s="6"/>
      <c r="E16" s="7">
        <f>(-E10/2)*COS(RADIANS(45))+(F10/2)*SIN(RADIANS(45))</f>
        <v>-0.56821080631061882</v>
      </c>
      <c r="F16" s="7">
        <f>-(E10/2)*SIN(RADIANS(-45))+(F10/2)*COS(RADIANS(-45))</f>
        <v>4.7350900525884878</v>
      </c>
      <c r="G16" s="8"/>
      <c r="H16" s="8">
        <f t="shared" si="2"/>
        <v>0.75833333333333264</v>
      </c>
      <c r="I16" s="8">
        <f t="shared" si="0"/>
        <v>1.8550718611356609</v>
      </c>
      <c r="J16" s="8">
        <f t="shared" si="1"/>
        <v>-1.8550718611356609</v>
      </c>
      <c r="N16">
        <f>N15-2.75</f>
        <v>-10.75</v>
      </c>
      <c r="O16">
        <v>15.75</v>
      </c>
      <c r="P16">
        <f t="shared" si="3"/>
        <v>-11.517857142857142</v>
      </c>
      <c r="Q16">
        <f t="shared" si="4"/>
        <v>16.875</v>
      </c>
    </row>
    <row r="17" spans="1:17" ht="15" x14ac:dyDescent="0.25">
      <c r="A17" s="3" t="s">
        <v>94</v>
      </c>
      <c r="B17" s="46">
        <v>0.97499999999999998</v>
      </c>
      <c r="E17" s="28" t="s">
        <v>50</v>
      </c>
      <c r="F17" s="28" t="s">
        <v>51</v>
      </c>
      <c r="G17" s="8"/>
      <c r="H17" s="8">
        <f t="shared" si="2"/>
        <v>1.0616666666666661</v>
      </c>
      <c r="I17" s="8">
        <f t="shared" si="0"/>
        <v>1.8007652694217411</v>
      </c>
      <c r="J17" s="8">
        <f t="shared" si="1"/>
        <v>-1.8007652694217411</v>
      </c>
      <c r="N17">
        <f>N16</f>
        <v>-10.75</v>
      </c>
      <c r="O17">
        <v>9.5</v>
      </c>
      <c r="P17">
        <f t="shared" si="3"/>
        <v>-11.517857142857142</v>
      </c>
      <c r="Q17">
        <f t="shared" si="4"/>
        <v>10.178571428571429</v>
      </c>
    </row>
    <row r="18" spans="1:17" ht="15" x14ac:dyDescent="0.25">
      <c r="A18" s="3" t="s">
        <v>95</v>
      </c>
      <c r="B18" s="36">
        <f>B16*B17</f>
        <v>1.0705092584846654</v>
      </c>
      <c r="E18" s="7">
        <f>(E10/2)*COS(RADIANS(45))+(-F10/2)*SIN(RADIANS(45))</f>
        <v>0.56821080631061882</v>
      </c>
      <c r="F18" s="7">
        <f>-(E10/2)*SIN(RADIANS(45))+(-F10)/2*COS(RADIANS(45))</f>
        <v>-4.7350900525884878</v>
      </c>
      <c r="G18" s="8"/>
      <c r="H18" s="8">
        <f t="shared" si="2"/>
        <v>1.3649999999999993</v>
      </c>
      <c r="I18" s="8">
        <f t="shared" si="0"/>
        <v>1.72570009454903</v>
      </c>
      <c r="J18" s="8">
        <f t="shared" si="1"/>
        <v>-1.72570009454903</v>
      </c>
      <c r="N18">
        <v>-2.75</v>
      </c>
      <c r="O18">
        <v>0</v>
      </c>
      <c r="P18">
        <f t="shared" si="3"/>
        <v>-2.9464285714285712</v>
      </c>
      <c r="Q18">
        <f t="shared" si="4"/>
        <v>0</v>
      </c>
    </row>
    <row r="19" spans="1:17" ht="15" x14ac:dyDescent="0.2">
      <c r="A19" s="49" t="s">
        <v>68</v>
      </c>
      <c r="B19" s="50">
        <f>((B18*ABS('Electron beam and constants'!B4))/('Electron beam and constants'!B5*'Electron beam and constants'!B6))*((B12/1000)/(2*PI()))</f>
        <v>2.3989572179443432</v>
      </c>
      <c r="E19" s="7">
        <f>(E10/2)*COS(RADIANS(45))+(F10/2)*SIN(RADIANS(45))</f>
        <v>4.7350900525884878</v>
      </c>
      <c r="F19" s="7">
        <f>-(E10/2)*SIN(RADIANS(45))+(F10/2)*COS(RADIANS(45))</f>
        <v>-0.56821080631061838</v>
      </c>
      <c r="G19" s="8"/>
      <c r="H19" s="8">
        <f t="shared" si="2"/>
        <v>1.6683333333333326</v>
      </c>
      <c r="I19" s="8">
        <f t="shared" si="0"/>
        <v>1.6270056521998471</v>
      </c>
      <c r="J19" s="8">
        <f t="shared" si="1"/>
        <v>-1.6270056521998471</v>
      </c>
    </row>
    <row r="20" spans="1:17" ht="15" x14ac:dyDescent="0.25">
      <c r="A20" s="3" t="s">
        <v>96</v>
      </c>
      <c r="B20" s="37">
        <f>'Electron beam and constants'!E5</f>
        <v>918.40877644840486</v>
      </c>
      <c r="C20" s="4"/>
      <c r="D20" s="5"/>
      <c r="E20" s="28" t="s">
        <v>52</v>
      </c>
      <c r="F20" s="28" t="s">
        <v>53</v>
      </c>
      <c r="G20" s="8"/>
      <c r="H20" s="8">
        <f t="shared" si="2"/>
        <v>1.9716666666666658</v>
      </c>
      <c r="I20" s="8">
        <f t="shared" si="0"/>
        <v>1.5000250942723301</v>
      </c>
      <c r="J20" s="8">
        <f t="shared" si="1"/>
        <v>-1.5000250942723301</v>
      </c>
    </row>
    <row r="21" spans="1:17" ht="15" x14ac:dyDescent="0.25">
      <c r="A21" s="3" t="s">
        <v>89</v>
      </c>
      <c r="B21" s="38">
        <f>'Electron beam and constants'!B34</f>
        <v>54.823798351643198</v>
      </c>
      <c r="C21" s="4"/>
      <c r="E21" s="7">
        <f>(-E10/2)*COS(RADIANS(45))+(-F10/2)*SIN(RADIANS(45))</f>
        <v>-4.7350900525884878</v>
      </c>
      <c r="F21" s="7">
        <f>-(E10/2)*SIN(RADIANS(45))+(F10/2)*COS(RADIANS(45))</f>
        <v>-0.56821080631061838</v>
      </c>
      <c r="G21" s="8"/>
      <c r="H21" s="8">
        <f t="shared" si="2"/>
        <v>2.274999999999999</v>
      </c>
      <c r="I21" s="8">
        <f t="shared" si="0"/>
        <v>1.336721545347392</v>
      </c>
      <c r="J21" s="8">
        <f t="shared" si="1"/>
        <v>-1.336721545347392</v>
      </c>
    </row>
    <row r="22" spans="1:17" ht="15" x14ac:dyDescent="0.25">
      <c r="A22" s="35" t="s">
        <v>90</v>
      </c>
      <c r="B22" s="38">
        <f>'Electron beam and constants'!B35</f>
        <v>1.3499892374111309</v>
      </c>
      <c r="C22" s="4"/>
      <c r="E22" s="7">
        <f>(-E10/2)*COS(RADIANS(45))+(F10/2)*SIN(RADIANS(45))</f>
        <v>-0.56821080631061882</v>
      </c>
      <c r="F22" s="7">
        <f>-(E10/2)*SIN(RADIANS(45))+(-F10/2)*COS(RADIANS(45))</f>
        <v>-4.7350900525884878</v>
      </c>
      <c r="G22" s="8"/>
      <c r="H22" s="8">
        <f t="shared" si="2"/>
        <v>2.5783333333333323</v>
      </c>
      <c r="I22" s="8">
        <f t="shared" si="0"/>
        <v>1.1213362614924527</v>
      </c>
      <c r="J22" s="8">
        <f t="shared" si="1"/>
        <v>-1.1213362614924527</v>
      </c>
    </row>
    <row r="23" spans="1:17" ht="15" x14ac:dyDescent="0.25">
      <c r="A23" s="3" t="s">
        <v>39</v>
      </c>
      <c r="B23" s="26">
        <f>(11/8)*B12+B13*B12 + B15</f>
        <v>57.1</v>
      </c>
      <c r="C23" s="4"/>
      <c r="G23" s="8"/>
      <c r="H23" s="8">
        <f t="shared" si="2"/>
        <v>2.8816666666666655</v>
      </c>
      <c r="I23" s="8">
        <f t="shared" si="0"/>
        <v>0.81350282609992486</v>
      </c>
      <c r="J23" s="8">
        <f t="shared" si="1"/>
        <v>-0.81350282609992486</v>
      </c>
    </row>
    <row r="24" spans="1:17" ht="15" x14ac:dyDescent="0.25">
      <c r="C24" s="4"/>
      <c r="D24" s="5"/>
      <c r="G24" s="8"/>
      <c r="H24" s="8">
        <f t="shared" si="2"/>
        <v>3.1849999999999987</v>
      </c>
      <c r="I24" s="8">
        <f t="shared" si="0"/>
        <v>5.6922435760498044E-8</v>
      </c>
      <c r="J24" s="8">
        <f t="shared" si="1"/>
        <v>-5.6922435760498044E-8</v>
      </c>
    </row>
    <row r="25" spans="1:17" ht="15" x14ac:dyDescent="0.25">
      <c r="A25" s="48" t="s">
        <v>100</v>
      </c>
      <c r="C25" s="4"/>
    </row>
    <row r="26" spans="1:17" ht="15" x14ac:dyDescent="0.25">
      <c r="A26" s="3" t="s">
        <v>17</v>
      </c>
      <c r="B26" s="27" t="s">
        <v>19</v>
      </c>
      <c r="C26" s="4"/>
    </row>
    <row r="27" spans="1:17" ht="15" x14ac:dyDescent="0.25">
      <c r="A27" s="3" t="s">
        <v>18</v>
      </c>
      <c r="B27" s="4">
        <v>5</v>
      </c>
    </row>
    <row r="28" spans="1:17" ht="15" x14ac:dyDescent="0.25">
      <c r="A28" s="3"/>
      <c r="B28" s="4"/>
      <c r="H28" s="6"/>
    </row>
    <row r="29" spans="1:17" ht="15" x14ac:dyDescent="0.25">
      <c r="A29" s="3" t="s">
        <v>11</v>
      </c>
      <c r="B29" s="4">
        <v>150</v>
      </c>
      <c r="H29" s="6"/>
    </row>
    <row r="30" spans="1:17" ht="15" x14ac:dyDescent="0.25">
      <c r="A30" s="3" t="s">
        <v>12</v>
      </c>
      <c r="B30" s="4">
        <v>300</v>
      </c>
    </row>
    <row r="31" spans="1:17" ht="15" x14ac:dyDescent="0.25">
      <c r="A31" s="3"/>
      <c r="B31" s="4"/>
    </row>
    <row r="32" spans="1:17" ht="15" x14ac:dyDescent="0.25">
      <c r="A32" s="3" t="s">
        <v>21</v>
      </c>
      <c r="B32" s="4">
        <v>20</v>
      </c>
    </row>
    <row r="33" spans="1:2" ht="15" x14ac:dyDescent="0.25">
      <c r="A33" s="3" t="s">
        <v>22</v>
      </c>
      <c r="B33" s="4">
        <v>1</v>
      </c>
    </row>
    <row r="34" spans="1:2" ht="15" x14ac:dyDescent="0.25">
      <c r="A34" s="3" t="s">
        <v>13</v>
      </c>
      <c r="B34" s="4">
        <v>300</v>
      </c>
    </row>
    <row r="35" spans="1:2" ht="15" x14ac:dyDescent="0.25">
      <c r="A35" s="3" t="s">
        <v>14</v>
      </c>
      <c r="B35" s="4">
        <v>1</v>
      </c>
    </row>
    <row r="37" spans="1:2" ht="15" x14ac:dyDescent="0.25">
      <c r="A37" s="3" t="s">
        <v>20</v>
      </c>
      <c r="B37" s="4">
        <v>2</v>
      </c>
    </row>
  </sheetData>
  <mergeCells count="2">
    <mergeCell ref="E1:K1"/>
    <mergeCell ref="M1:S1"/>
  </mergeCells>
  <phoneticPr fontId="3" type="noConversion"/>
  <dataValidations count="3">
    <dataValidation type="list" allowBlank="1" showInputMessage="1" showErrorMessage="1" sqref="B26" xr:uid="{00000000-0002-0000-0000-000001000000}">
      <formula1>$D$15:$D$24</formula1>
    </dataValidation>
    <dataValidation type="list" allowBlank="1" showInputMessage="1" showErrorMessage="1" sqref="B9" xr:uid="{00000000-0002-0000-0000-000000000000}">
      <formula1>$D$8:$D$12</formula1>
    </dataValidation>
    <dataValidation type="list" allowBlank="1" showInputMessage="1" showErrorMessage="1" sqref="B4" xr:uid="{56BEB450-02DD-4DB9-9F8E-EECB8F3FBD54}">
      <formula1>$D$4:$D$5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Beam Stay Clear</vt:lpstr>
      <vt:lpstr>Electron beam and constants</vt:lpstr>
      <vt:lpstr>Create Undulator Magnet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2019-06-10T12:48:23Z</dcterms:modified>
</cp:coreProperties>
</file>