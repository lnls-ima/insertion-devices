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rq-James\5 - Projetos\2 - Dispositivos de Insercao\Projeto Delta\Codes\"/>
    </mc:Choice>
  </mc:AlternateContent>
  <xr:revisionPtr revIDLastSave="0" documentId="13_ncr:1_{5D38D931-0ACB-44A1-8A99-C2C9887E87D5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Beam Stay Clear" sheetId="3" r:id="rId1"/>
    <sheet name="Electron beam and constants" sheetId="7" r:id="rId2"/>
    <sheet name="Create Undulator Magne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1" l="1"/>
  <c r="B18" i="1" s="1"/>
  <c r="B27" i="7" s="1"/>
  <c r="B29" i="7"/>
  <c r="B28" i="7"/>
  <c r="B19" i="7"/>
  <c r="B20" i="7" s="1"/>
  <c r="B31" i="7"/>
  <c r="M4" i="1"/>
  <c r="Q5" i="1" s="1"/>
  <c r="N7" i="1"/>
  <c r="F10" i="1"/>
  <c r="E10" i="1"/>
  <c r="O5" i="3"/>
  <c r="O4" i="3"/>
  <c r="E5" i="3"/>
  <c r="E4" i="3"/>
  <c r="B19" i="1" l="1"/>
  <c r="B32" i="7" s="1"/>
  <c r="F5" i="7"/>
  <c r="F11" i="7"/>
  <c r="F9" i="7"/>
  <c r="F7" i="7"/>
  <c r="F12" i="7"/>
  <c r="F10" i="7"/>
  <c r="F8" i="7"/>
  <c r="F6" i="7"/>
  <c r="P7" i="1"/>
  <c r="P5" i="1"/>
  <c r="Q16" i="1"/>
  <c r="Q12" i="1"/>
  <c r="Q8" i="1"/>
  <c r="N8" i="1"/>
  <c r="N9" i="1" s="1"/>
  <c r="P4" i="1"/>
  <c r="Q18" i="1"/>
  <c r="Q14" i="1"/>
  <c r="Q10" i="1"/>
  <c r="Q6" i="1"/>
  <c r="P18" i="1"/>
  <c r="P6" i="1"/>
  <c r="Q4" i="1"/>
  <c r="Q17" i="1"/>
  <c r="Q15" i="1"/>
  <c r="Q13" i="1"/>
  <c r="Q11" i="1"/>
  <c r="Q9" i="1"/>
  <c r="Q7" i="1"/>
  <c r="F22" i="1"/>
  <c r="E12" i="1"/>
  <c r="F15" i="1"/>
  <c r="E18" i="1"/>
  <c r="E21" i="1"/>
  <c r="F21" i="1"/>
  <c r="F12" i="1"/>
  <c r="E15" i="1"/>
  <c r="F18" i="1"/>
  <c r="E13" i="1"/>
  <c r="F13" i="1"/>
  <c r="F16" i="1"/>
  <c r="E16" i="1"/>
  <c r="E19" i="1"/>
  <c r="F19" i="1"/>
  <c r="E22" i="1"/>
  <c r="B34" i="7" l="1"/>
  <c r="B21" i="1" s="1"/>
  <c r="P8" i="1"/>
  <c r="N10" i="1"/>
  <c r="P9" i="1"/>
  <c r="H5" i="7" l="1"/>
  <c r="B35" i="7"/>
  <c r="B22" i="1" s="1"/>
  <c r="E10" i="7"/>
  <c r="E6" i="7"/>
  <c r="E11" i="7"/>
  <c r="E7" i="7"/>
  <c r="E12" i="7"/>
  <c r="E8" i="7"/>
  <c r="E5" i="7"/>
  <c r="B20" i="1" s="1"/>
  <c r="E9" i="7"/>
  <c r="N11" i="1"/>
  <c r="P10" i="1"/>
  <c r="M5" i="7" l="1"/>
  <c r="P5" i="7"/>
  <c r="AE5" i="7"/>
  <c r="Y5" i="7"/>
  <c r="V5" i="7"/>
  <c r="AA5" i="7"/>
  <c r="S5" i="7"/>
  <c r="J5" i="7"/>
  <c r="AB5" i="7"/>
  <c r="U5" i="7"/>
  <c r="I5" i="7"/>
  <c r="L5" i="7"/>
  <c r="AD5" i="7"/>
  <c r="X5" i="7"/>
  <c r="R5" i="7"/>
  <c r="O5" i="7"/>
  <c r="H6" i="7"/>
  <c r="N12" i="1"/>
  <c r="P11" i="1"/>
  <c r="M6" i="7" l="1"/>
  <c r="J6" i="7"/>
  <c r="Y6" i="7"/>
  <c r="AE6" i="7"/>
  <c r="P6" i="7"/>
  <c r="AA6" i="7"/>
  <c r="S6" i="7"/>
  <c r="U6" i="7"/>
  <c r="V6" i="7"/>
  <c r="AB6" i="7"/>
  <c r="Z5" i="7"/>
  <c r="AF5" i="7"/>
  <c r="AC5" i="7"/>
  <c r="K5" i="7"/>
  <c r="N5" i="7"/>
  <c r="H7" i="7"/>
  <c r="AD6" i="7"/>
  <c r="R6" i="7"/>
  <c r="O6" i="7"/>
  <c r="L6" i="7"/>
  <c r="X6" i="7"/>
  <c r="I6" i="7"/>
  <c r="Q5" i="7"/>
  <c r="W5" i="7"/>
  <c r="T5" i="7"/>
  <c r="N13" i="1"/>
  <c r="P12" i="1"/>
  <c r="J7" i="7" l="1"/>
  <c r="AE7" i="7"/>
  <c r="M7" i="7"/>
  <c r="Y7" i="7"/>
  <c r="P7" i="7"/>
  <c r="S7" i="7"/>
  <c r="U7" i="7"/>
  <c r="AB7" i="7"/>
  <c r="AA7" i="7"/>
  <c r="V7" i="7"/>
  <c r="W6" i="7"/>
  <c r="K6" i="7"/>
  <c r="Z6" i="7"/>
  <c r="AF6" i="7"/>
  <c r="N6" i="7"/>
  <c r="Q6" i="7"/>
  <c r="AC6" i="7"/>
  <c r="T6" i="7"/>
  <c r="H8" i="7"/>
  <c r="X7" i="7"/>
  <c r="Z7" i="7" s="1"/>
  <c r="I7" i="7"/>
  <c r="L7" i="7"/>
  <c r="AD7" i="7"/>
  <c r="AF7" i="7" s="1"/>
  <c r="AC7" i="7"/>
  <c r="R7" i="7"/>
  <c r="O7" i="7"/>
  <c r="N14" i="1"/>
  <c r="P13" i="1"/>
  <c r="M8" i="7" l="1"/>
  <c r="J8" i="7"/>
  <c r="AE8" i="7"/>
  <c r="P8" i="7"/>
  <c r="V8" i="7"/>
  <c r="AB8" i="7"/>
  <c r="Y8" i="7"/>
  <c r="AA8" i="7"/>
  <c r="S8" i="7"/>
  <c r="U8" i="7"/>
  <c r="N7" i="7"/>
  <c r="K7" i="7"/>
  <c r="T7" i="7"/>
  <c r="Q7" i="7"/>
  <c r="W7" i="7"/>
  <c r="H9" i="7"/>
  <c r="AD8" i="7"/>
  <c r="X8" i="7"/>
  <c r="R8" i="7"/>
  <c r="O8" i="7"/>
  <c r="I8" i="7"/>
  <c r="L8" i="7"/>
  <c r="N15" i="1"/>
  <c r="P14" i="1"/>
  <c r="M9" i="7" l="1"/>
  <c r="AE9" i="7"/>
  <c r="P9" i="7"/>
  <c r="J9" i="7"/>
  <c r="V9" i="7"/>
  <c r="Y9" i="7"/>
  <c r="AB9" i="7"/>
  <c r="AA9" i="7"/>
  <c r="S9" i="7"/>
  <c r="U9" i="7"/>
  <c r="AC8" i="7"/>
  <c r="N8" i="7"/>
  <c r="Z8" i="7"/>
  <c r="AF8" i="7"/>
  <c r="K8" i="7"/>
  <c r="T8" i="7"/>
  <c r="H10" i="7"/>
  <c r="I9" i="7"/>
  <c r="L9" i="7"/>
  <c r="AD9" i="7"/>
  <c r="AF9" i="7" s="1"/>
  <c r="AC9" i="7"/>
  <c r="X9" i="7"/>
  <c r="Z9" i="7" s="1"/>
  <c r="R9" i="7"/>
  <c r="O9" i="7"/>
  <c r="Q8" i="7"/>
  <c r="W8" i="7"/>
  <c r="N16" i="1"/>
  <c r="P15" i="1"/>
  <c r="M10" i="7" l="1"/>
  <c r="V10" i="7"/>
  <c r="J10" i="7"/>
  <c r="P10" i="7"/>
  <c r="AE10" i="7"/>
  <c r="AB10" i="7"/>
  <c r="AA10" i="7"/>
  <c r="U10" i="7"/>
  <c r="S10" i="7"/>
  <c r="Y10" i="7"/>
  <c r="K9" i="7"/>
  <c r="N9" i="7"/>
  <c r="Q9" i="7"/>
  <c r="W9" i="7"/>
  <c r="H11" i="7"/>
  <c r="AD10" i="7"/>
  <c r="R10" i="7"/>
  <c r="O10" i="7"/>
  <c r="L10" i="7"/>
  <c r="X10" i="7"/>
  <c r="I10" i="7"/>
  <c r="T9" i="7"/>
  <c r="N17" i="1"/>
  <c r="P17" i="1" s="1"/>
  <c r="P16" i="1"/>
  <c r="J11" i="7" l="1"/>
  <c r="AE11" i="7"/>
  <c r="P11" i="7"/>
  <c r="V11" i="7"/>
  <c r="AB11" i="7"/>
  <c r="S11" i="7"/>
  <c r="AA11" i="7"/>
  <c r="M11" i="7"/>
  <c r="U11" i="7"/>
  <c r="Y11" i="7"/>
  <c r="W10" i="7"/>
  <c r="K10" i="7"/>
  <c r="Z10" i="7"/>
  <c r="AF10" i="7"/>
  <c r="N10" i="7"/>
  <c r="Q10" i="7"/>
  <c r="AC10" i="7"/>
  <c r="T10" i="7"/>
  <c r="H12" i="7"/>
  <c r="X11" i="7"/>
  <c r="Z11" i="7" s="1"/>
  <c r="I11" i="7"/>
  <c r="L11" i="7"/>
  <c r="AD11" i="7"/>
  <c r="AF11" i="7" s="1"/>
  <c r="AC11" i="7"/>
  <c r="R11" i="7"/>
  <c r="O11" i="7"/>
  <c r="V12" i="7" l="1"/>
  <c r="J12" i="7"/>
  <c r="P12" i="7"/>
  <c r="U12" i="7"/>
  <c r="AB12" i="7"/>
  <c r="S12" i="7"/>
  <c r="M12" i="7"/>
  <c r="AE12" i="7"/>
  <c r="Y12" i="7"/>
  <c r="AA12" i="7"/>
  <c r="N11" i="7"/>
  <c r="K11" i="7"/>
  <c r="Q11" i="7"/>
  <c r="W11" i="7"/>
  <c r="H13" i="7"/>
  <c r="AD12" i="7"/>
  <c r="X12" i="7"/>
  <c r="R12" i="7"/>
  <c r="O12" i="7"/>
  <c r="I12" i="7"/>
  <c r="L12" i="7"/>
  <c r="T11" i="7"/>
  <c r="J13" i="7" l="1"/>
  <c r="AB13" i="7"/>
  <c r="P13" i="7"/>
  <c r="V13" i="7"/>
  <c r="AA13" i="7"/>
  <c r="Y13" i="7"/>
  <c r="S13" i="7"/>
  <c r="U13" i="7"/>
  <c r="M13" i="7"/>
  <c r="AE13" i="7"/>
  <c r="AC12" i="7"/>
  <c r="N12" i="7"/>
  <c r="Z12" i="7"/>
  <c r="AF12" i="7"/>
  <c r="K12" i="7"/>
  <c r="T12" i="7"/>
  <c r="H14" i="7"/>
  <c r="I13" i="7"/>
  <c r="L13" i="7"/>
  <c r="AD13" i="7"/>
  <c r="AF13" i="7" s="1"/>
  <c r="AC13" i="7"/>
  <c r="X13" i="7"/>
  <c r="Z13" i="7" s="1"/>
  <c r="R13" i="7"/>
  <c r="O13" i="7"/>
  <c r="Q12" i="7"/>
  <c r="W12" i="7"/>
  <c r="P14" i="7" l="1"/>
  <c r="V14" i="7"/>
  <c r="J14" i="7"/>
  <c r="AB14" i="7"/>
  <c r="M14" i="7"/>
  <c r="AE14" i="7"/>
  <c r="AA14" i="7"/>
  <c r="U14" i="7"/>
  <c r="S14" i="7"/>
  <c r="Y14" i="7"/>
  <c r="K13" i="7"/>
  <c r="N13" i="7"/>
  <c r="Q13" i="7"/>
  <c r="W13" i="7"/>
  <c r="H15" i="7"/>
  <c r="AD14" i="7"/>
  <c r="R14" i="7"/>
  <c r="O14" i="7"/>
  <c r="AF14" i="7"/>
  <c r="AC14" i="7"/>
  <c r="L14" i="7"/>
  <c r="X14" i="7"/>
  <c r="I14" i="7"/>
  <c r="T13" i="7"/>
  <c r="P15" i="7" l="1"/>
  <c r="V15" i="7"/>
  <c r="J15" i="7"/>
  <c r="AB15" i="7"/>
  <c r="AE15" i="7"/>
  <c r="Y15" i="7"/>
  <c r="AA15" i="7"/>
  <c r="U15" i="7"/>
  <c r="M15" i="7"/>
  <c r="S15" i="7"/>
  <c r="W14" i="7"/>
  <c r="Q14" i="7"/>
  <c r="N14" i="7"/>
  <c r="K14" i="7"/>
  <c r="Z14" i="7"/>
  <c r="T14" i="7"/>
  <c r="H16" i="7"/>
  <c r="X15" i="7"/>
  <c r="Z15" i="7" s="1"/>
  <c r="L15" i="7"/>
  <c r="I15" i="7"/>
  <c r="K15" i="7" s="1"/>
  <c r="AD15" i="7"/>
  <c r="AF15" i="7" s="1"/>
  <c r="AC15" i="7"/>
  <c r="R15" i="7"/>
  <c r="O15" i="7"/>
  <c r="P16" i="7" l="1"/>
  <c r="V16" i="7"/>
  <c r="AB16" i="7"/>
  <c r="J16" i="7"/>
  <c r="AA16" i="7"/>
  <c r="AE16" i="7"/>
  <c r="Y16" i="7"/>
  <c r="M16" i="7"/>
  <c r="U16" i="7"/>
  <c r="S16" i="7"/>
  <c r="N15" i="7"/>
  <c r="Q15" i="7"/>
  <c r="W15" i="7"/>
  <c r="H17" i="7"/>
  <c r="AD16" i="7"/>
  <c r="L16" i="7"/>
  <c r="X16" i="7"/>
  <c r="R16" i="7"/>
  <c r="O16" i="7"/>
  <c r="I16" i="7"/>
  <c r="AF16" i="7"/>
  <c r="AC16" i="7"/>
  <c r="N16" i="7"/>
  <c r="T15" i="7"/>
  <c r="P17" i="7" l="1"/>
  <c r="V17" i="7"/>
  <c r="AB17" i="7"/>
  <c r="J17" i="7"/>
  <c r="S17" i="7"/>
  <c r="U17" i="7"/>
  <c r="Y17" i="7"/>
  <c r="AE17" i="7"/>
  <c r="AA17" i="7"/>
  <c r="M17" i="7"/>
  <c r="Z16" i="7"/>
  <c r="T16" i="7"/>
  <c r="K16" i="7"/>
  <c r="Q16" i="7"/>
  <c r="W16" i="7"/>
  <c r="H18" i="7"/>
  <c r="I17" i="7"/>
  <c r="K17" i="7" s="1"/>
  <c r="L17" i="7"/>
  <c r="AD17" i="7"/>
  <c r="X17" i="7"/>
  <c r="R17" i="7"/>
  <c r="O17" i="7"/>
  <c r="V18" i="7" l="1"/>
  <c r="P18" i="7"/>
  <c r="AB18" i="7"/>
  <c r="S18" i="7"/>
  <c r="M18" i="7"/>
  <c r="AA18" i="7"/>
  <c r="U18" i="7"/>
  <c r="Y18" i="7"/>
  <c r="J18" i="7"/>
  <c r="AE18" i="7"/>
  <c r="Z17" i="7"/>
  <c r="AF17" i="7"/>
  <c r="Q17" i="7"/>
  <c r="W17" i="7"/>
  <c r="AC17" i="7"/>
  <c r="N17" i="7"/>
  <c r="T17" i="7"/>
  <c r="H19" i="7"/>
  <c r="AD18" i="7"/>
  <c r="R18" i="7"/>
  <c r="O18" i="7"/>
  <c r="AF18" i="7"/>
  <c r="AC18" i="7"/>
  <c r="L18" i="7"/>
  <c r="X18" i="7"/>
  <c r="W18" i="7"/>
  <c r="I18" i="7"/>
  <c r="V19" i="7" l="1"/>
  <c r="AB19" i="7"/>
  <c r="P19" i="7"/>
  <c r="S19" i="7"/>
  <c r="M19" i="7"/>
  <c r="AA19" i="7"/>
  <c r="AE19" i="7"/>
  <c r="U19" i="7"/>
  <c r="Y19" i="7"/>
  <c r="J19" i="7"/>
  <c r="K19" i="7" s="1"/>
  <c r="K18" i="7"/>
  <c r="Z18" i="7"/>
  <c r="T18" i="7"/>
  <c r="H20" i="7"/>
  <c r="X19" i="7"/>
  <c r="I19" i="7"/>
  <c r="AD19" i="7"/>
  <c r="R19" i="7"/>
  <c r="O19" i="7"/>
  <c r="L19" i="7"/>
  <c r="Q18" i="7"/>
  <c r="N18" i="7"/>
  <c r="Z19" i="7" l="1"/>
  <c r="S20" i="7"/>
  <c r="P20" i="7"/>
  <c r="V20" i="7"/>
  <c r="AB20" i="7"/>
  <c r="U20" i="7"/>
  <c r="Y20" i="7"/>
  <c r="AA20" i="7"/>
  <c r="J20" i="7"/>
  <c r="M20" i="7"/>
  <c r="AE20" i="7"/>
  <c r="AF19" i="7"/>
  <c r="Q19" i="7"/>
  <c r="N19" i="7"/>
  <c r="W19" i="7"/>
  <c r="H21" i="7"/>
  <c r="AD20" i="7"/>
  <c r="L20" i="7"/>
  <c r="X20" i="7"/>
  <c r="R20" i="7"/>
  <c r="O20" i="7"/>
  <c r="I20" i="7"/>
  <c r="AF20" i="7"/>
  <c r="AC20" i="7"/>
  <c r="N20" i="7"/>
  <c r="AC19" i="7"/>
  <c r="T19" i="7"/>
  <c r="P21" i="7" l="1"/>
  <c r="AB21" i="7"/>
  <c r="S21" i="7"/>
  <c r="V21" i="7"/>
  <c r="Y21" i="7"/>
  <c r="U21" i="7"/>
  <c r="AE21" i="7"/>
  <c r="J21" i="7"/>
  <c r="AA21" i="7"/>
  <c r="M21" i="7"/>
  <c r="T20" i="7"/>
  <c r="K20" i="7"/>
  <c r="Z20" i="7"/>
  <c r="Q20" i="7"/>
  <c r="W20" i="7"/>
  <c r="H22" i="7"/>
  <c r="I21" i="7"/>
  <c r="K21" i="7" s="1"/>
  <c r="L21" i="7"/>
  <c r="AD21" i="7"/>
  <c r="X21" i="7"/>
  <c r="R21" i="7"/>
  <c r="O21" i="7"/>
  <c r="AB22" i="7" l="1"/>
  <c r="S22" i="7"/>
  <c r="Y22" i="7"/>
  <c r="V22" i="7"/>
  <c r="P22" i="7"/>
  <c r="U22" i="7"/>
  <c r="M22" i="7"/>
  <c r="AA22" i="7"/>
  <c r="J22" i="7"/>
  <c r="AE22" i="7"/>
  <c r="Z21" i="7"/>
  <c r="AF21" i="7"/>
  <c r="Q21" i="7"/>
  <c r="W21" i="7"/>
  <c r="AC21" i="7"/>
  <c r="N21" i="7"/>
  <c r="T21" i="7"/>
  <c r="H23" i="7"/>
  <c r="AD22" i="7"/>
  <c r="O22" i="7"/>
  <c r="L22" i="7"/>
  <c r="X22" i="7"/>
  <c r="R22" i="7"/>
  <c r="I22" i="7"/>
  <c r="V23" i="7" l="1"/>
  <c r="S23" i="7"/>
  <c r="AB23" i="7"/>
  <c r="Y23" i="7"/>
  <c r="AE23" i="7"/>
  <c r="J23" i="7"/>
  <c r="U23" i="7"/>
  <c r="P23" i="7"/>
  <c r="AA23" i="7"/>
  <c r="M23" i="7"/>
  <c r="K22" i="7"/>
  <c r="T22" i="7"/>
  <c r="AC22" i="7"/>
  <c r="Q22" i="7"/>
  <c r="H24" i="7"/>
  <c r="X23" i="7"/>
  <c r="Z23" i="7" s="1"/>
  <c r="R23" i="7"/>
  <c r="L23" i="7"/>
  <c r="I23" i="7"/>
  <c r="K23" i="7" s="1"/>
  <c r="N23" i="7"/>
  <c r="AD23" i="7"/>
  <c r="O23" i="7"/>
  <c r="W22" i="7"/>
  <c r="Z22" i="7"/>
  <c r="AF22" i="7"/>
  <c r="N22" i="7"/>
  <c r="V24" i="7" l="1"/>
  <c r="AB24" i="7"/>
  <c r="Y24" i="7"/>
  <c r="S24" i="7"/>
  <c r="AE24" i="7"/>
  <c r="AA24" i="7"/>
  <c r="J24" i="7"/>
  <c r="P24" i="7"/>
  <c r="M24" i="7"/>
  <c r="U24" i="7"/>
  <c r="AF23" i="7"/>
  <c r="Q23" i="7"/>
  <c r="W23" i="7"/>
  <c r="AD24" i="7"/>
  <c r="L24" i="7"/>
  <c r="X24" i="7"/>
  <c r="R24" i="7"/>
  <c r="O24" i="7"/>
  <c r="I24" i="7"/>
  <c r="AF24" i="7"/>
  <c r="AC24" i="7"/>
  <c r="N24" i="7"/>
  <c r="AC23" i="7"/>
  <c r="T23" i="7"/>
  <c r="B23" i="1"/>
  <c r="Z24" i="7" l="1"/>
  <c r="B6" i="1"/>
  <c r="G5" i="1" s="1"/>
  <c r="B30" i="7"/>
  <c r="Q24" i="7"/>
  <c r="W24" i="7"/>
  <c r="T24" i="7"/>
  <c r="K24" i="7"/>
  <c r="B7" i="1"/>
  <c r="G3" i="1" s="1"/>
  <c r="H3" i="1" s="1"/>
  <c r="F3" i="1" l="1"/>
  <c r="F5" i="1"/>
  <c r="F4" i="1"/>
  <c r="F7" i="1"/>
  <c r="F6" i="1"/>
  <c r="J3" i="1"/>
  <c r="I3" i="1"/>
  <c r="H4" i="1"/>
  <c r="E7" i="1"/>
  <c r="E5" i="1"/>
  <c r="E3" i="1"/>
  <c r="E6" i="1"/>
  <c r="E4" i="1"/>
  <c r="J4" i="1" l="1"/>
  <c r="I4" i="1"/>
  <c r="H5" i="1"/>
  <c r="I5" i="1" l="1"/>
  <c r="J5" i="1"/>
  <c r="H6" i="1"/>
  <c r="J6" i="1" l="1"/>
  <c r="I6" i="1"/>
  <c r="H7" i="1"/>
  <c r="I7" i="1" l="1"/>
  <c r="J7" i="1"/>
  <c r="H8" i="1"/>
  <c r="J8" i="1" l="1"/>
  <c r="I8" i="1"/>
  <c r="H9" i="1"/>
  <c r="I9" i="1" l="1"/>
  <c r="J9" i="1"/>
  <c r="H10" i="1"/>
  <c r="J10" i="1" l="1"/>
  <c r="I10" i="1"/>
  <c r="H11" i="1"/>
  <c r="I11" i="1" l="1"/>
  <c r="J11" i="1"/>
  <c r="H12" i="1"/>
  <c r="J12" i="1" l="1"/>
  <c r="I12" i="1"/>
  <c r="H13" i="1"/>
  <c r="I13" i="1" l="1"/>
  <c r="J13" i="1"/>
  <c r="H14" i="1"/>
  <c r="J14" i="1" l="1"/>
  <c r="I14" i="1"/>
  <c r="H15" i="1"/>
  <c r="I15" i="1" l="1"/>
  <c r="J15" i="1"/>
  <c r="H16" i="1"/>
  <c r="J16" i="1" l="1"/>
  <c r="I16" i="1"/>
  <c r="H17" i="1"/>
  <c r="I17" i="1" l="1"/>
  <c r="J17" i="1"/>
  <c r="H18" i="1"/>
  <c r="J18" i="1" l="1"/>
  <c r="I18" i="1"/>
  <c r="H19" i="1"/>
  <c r="I19" i="1" l="1"/>
  <c r="J19" i="1"/>
  <c r="H20" i="1"/>
  <c r="J20" i="1" l="1"/>
  <c r="I20" i="1"/>
  <c r="H21" i="1"/>
  <c r="I21" i="1" l="1"/>
  <c r="J21" i="1"/>
  <c r="H22" i="1"/>
  <c r="J22" i="1" l="1"/>
  <c r="I22" i="1"/>
  <c r="H23" i="1"/>
  <c r="I23" i="1" l="1"/>
  <c r="J23" i="1"/>
  <c r="H24" i="1"/>
  <c r="J24" i="1" l="1"/>
  <c r="I24" i="1"/>
</calcChain>
</file>

<file path=xl/sharedStrings.xml><?xml version="1.0" encoding="utf-8"?>
<sst xmlns="http://schemas.openxmlformats.org/spreadsheetml/2006/main" count="141" uniqueCount="102">
  <si>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</si>
  <si>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</si>
  <si>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</si>
  <si>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</si>
  <si>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</si>
  <si>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</si>
  <si>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</si>
  <si>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</si>
  <si>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</si>
  <si>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</si>
  <si>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</si>
  <si>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</si>
  <si>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</si>
  <si>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</si>
  <si>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</si>
  <si>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</si>
  <si>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</si>
  <si>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</si>
  <si>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</si>
  <si>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</si>
  <si>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</si>
  <si>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</si>
  <si>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</si>
  <si>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</si>
  <si>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</si>
  <si>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</si>
  <si>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</si>
  <si>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</si>
  <si>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</si>
  <si>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</si>
  <si>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</si>
  <si>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</si>
  <si>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</si>
  <si>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</si>
  <si>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</si>
  <si>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</si>
  <si>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</si>
  <si>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</si>
  <si>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</si>
  <si>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</si>
  <si>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</si>
  <si>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</si>
  <si>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</si>
  <si>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</si>
  <si>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g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</si>
  <si>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</si>
  <si>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</si>
  <si>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</si>
  <si>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</si>
  <si>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</si>
  <si>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</si>
  <si>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</si>
  <si>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</si>
  <si>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</si>
  <si>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</si>
  <si>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</si>
  <si>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</si>
  <si>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</si>
  <si>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</si>
  <si>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</si>
  <si>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</si>
  <si>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</si>
  <si>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</si>
  <si>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</si>
  <si>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</si>
  <si>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</si>
  <si>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</si>
  <si>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Total Length [m]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</si>
  <si>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</si>
  <si>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</si>
  <si>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</si>
  <si>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</si>
  <si>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</si>
  <si>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</si>
  <si>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</si>
  <si>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</si>
  <si>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</si>
  <si>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</si>
  <si>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</si>
  <si>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</si>
  <si>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</si>
  <si>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</si>
  <si>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</si>
  <si>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</si>
  <si>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</si>
  <si>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</si>
  <si>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</si>
  <si>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</si>
  <si>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</si>
  <si>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</si>
  <si>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</si>
  <si>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</si>
  <si>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</si>
  <si>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</si>
  <si>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</si>
  <si>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</si>
  <si>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</si>
  <si>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</si>
  <si>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</si>
  <si>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</si>
  <si>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</si>
  <si>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magnet model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</si>
</sst>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</numFmts>
  <fonts count="2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2" fontId="0" fillId="0" borderId="0" xfId="0" applyNumberForma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1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9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5" fillId="0" borderId="0" xfId="0" applyFont="1"/>
    <xf numFmtId="0" fontId="5" fillId="0" borderId="0" xfId="0" applyFont="1" applyAlignment="1">
      <alignment horizontal="left" indent="3"/>
    </xf>
    <xf numFmtId="0" fontId="16" fillId="0" borderId="0" xfId="0" applyFont="1"/>
    <xf numFmtId="0" fontId="17" fillId="0" borderId="0" xfId="0" applyFont="1" applyAlignment="1">
      <alignment horizontal="right"/>
    </xf>
    <xf numFmtId="2" fontId="9" fillId="0" borderId="0" xfId="0" applyNumberFormat="1" applyFont="1"/>
    <xf numFmtId="0" fontId="14" fillId="0" borderId="0" xfId="0" applyFont="1" applyAlignment="1">
      <alignment horizontal="center"/>
    </xf>
    <xf numFmtId="0" fontId="18" fillId="0" borderId="0" xfId="0" applyFont="1"/>
    <xf numFmtId="166" fontId="16" fillId="0" borderId="0" xfId="0" applyNumberFormat="1" applyFont="1"/>
    <xf numFmtId="11" fontId="6" fillId="0" borderId="0" xfId="0" applyNumberFormat="1" applyFont="1"/>
    <xf numFmtId="0" fontId="14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9" fillId="0" borderId="0" xfId="0" applyFont="1"/>
    <xf numFmtId="165" fontId="16" fillId="0" borderId="0" xfId="0" applyNumberFormat="1" applyFont="1"/>
    <xf numFmtId="164" fontId="16" fillId="0" borderId="0" xfId="0" applyNumberFormat="1" applyFont="1"/>
    <xf numFmtId="2" fontId="16" fillId="0" borderId="0" xfId="0" applyNumberFormat="1" applyFont="1"/>
    <xf numFmtId="1" fontId="16" fillId="0" borderId="0" xfId="0" applyNumberFormat="1" applyFont="1"/>
    <xf numFmtId="0" fontId="14" fillId="0" borderId="0" xfId="0" applyFont="1" applyAlignment="1"/>
    <xf numFmtId="1" fontId="16" fillId="0" borderId="0" xfId="0" applyNumberFormat="1" applyFont="1" applyAlignment="1">
      <alignment horizontal="center"/>
    </xf>
    <xf numFmtId="167" fontId="16" fillId="0" borderId="0" xfId="0" applyNumberFormat="1" applyFont="1" applyAlignment="1">
      <alignment horizontal="center"/>
    </xf>
    <xf numFmtId="11" fontId="14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168" fontId="6" fillId="0" borderId="0" xfId="1" applyNumberFormat="1" applyFont="1"/>
    <xf numFmtId="169" fontId="6" fillId="0" borderId="0" xfId="0" applyNumberFormat="1" applyFont="1"/>
    <xf numFmtId="0" fontId="21" fillId="0" borderId="0" xfId="0" applyFont="1"/>
    <xf numFmtId="0" fontId="4" fillId="0" borderId="0" xfId="0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9" fillId="0" borderId="1" xfId="0" applyFont="1" applyBorder="1"/>
    <xf numFmtId="0" fontId="2" fillId="0" borderId="0" xfId="0" applyFont="1" applyAlignment="1"/>
    <xf numFmtId="0" fontId="12" fillId="2" borderId="1" xfId="0" applyFont="1" applyFill="1" applyBorder="1" applyAlignment="1">
      <alignment horizontal="center"/>
    </xf>
    <xf numFmtId="2" fontId="12" fillId="0" borderId="1" xfId="0" applyNumberFormat="1" applyFont="1" applyFill="1" applyBorder="1" applyAlignment="1">
      <alignment horizontal="center"/>
    </xf>
    <xf numFmtId="2" fontId="12" fillId="0" borderId="2" xfId="0" applyNumberFormat="1" applyFont="1" applyFill="1" applyBorder="1" applyAlignment="1">
      <alignment horizontal="center"/>
    </xf>
    <xf numFmtId="2" fontId="12" fillId="0" borderId="3" xfId="0" applyNumberFormat="1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constants'!$J$5:$J$24</c:f>
              <c:numCache>
                <c:formatCode>0.000000E+00</c:formatCode>
                <c:ptCount val="20"/>
                <c:pt idx="0">
                  <c:v>4472315044920181.5</c:v>
                </c:pt>
                <c:pt idx="1">
                  <c:v>4424570807892213</c:v>
                </c:pt>
                <c:pt idx="2">
                  <c:v>4367332712626342.5</c:v>
                </c:pt>
                <c:pt idx="3">
                  <c:v>4298525836306347</c:v>
                </c:pt>
                <c:pt idx="4">
                  <c:v>4215632668808062.5</c:v>
                </c:pt>
                <c:pt idx="5">
                  <c:v>4115629943529267.5</c:v>
                </c:pt>
                <c:pt idx="6">
                  <c:v>3994943333704211</c:v>
                </c:pt>
                <c:pt idx="7">
                  <c:v>3849445207694963</c:v>
                </c:pt>
                <c:pt idx="8">
                  <c:v>3674536467697851.5</c:v>
                </c:pt>
                <c:pt idx="9">
                  <c:v>3465374284101748</c:v>
                </c:pt>
                <c:pt idx="10">
                  <c:v>3217330273504441.5</c:v>
                </c:pt>
                <c:pt idx="11">
                  <c:v>2926779040238976.5</c:v>
                </c:pt>
                <c:pt idx="12">
                  <c:v>2592305204646791.5</c:v>
                </c:pt>
                <c:pt idx="13">
                  <c:v>2216345687630132.5</c:v>
                </c:pt>
                <c:pt idx="14">
                  <c:v>1807115599907413.8</c:v>
                </c:pt>
                <c:pt idx="15">
                  <c:v>1380386111415517.5</c:v>
                </c:pt>
                <c:pt idx="16">
                  <c:v>960352692950449.25</c:v>
                </c:pt>
                <c:pt idx="17">
                  <c:v>578640046106492.25</c:v>
                </c:pt>
                <c:pt idx="18">
                  <c:v>270720270988293.22</c:v>
                </c:pt>
                <c:pt idx="19">
                  <c:v>69863549743461.445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constants'!$L$5:$L$24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2455667700942898</c:v>
                </c:pt>
                <c:pt idx="1">
                  <c:v>2359169991997539</c:v>
                </c:pt>
                <c:pt idx="2">
                  <c:v>2248119963388206</c:v>
                </c:pt>
                <c:pt idx="3">
                  <c:v>2120884428744536.8</c:v>
                </c:pt>
                <c:pt idx="4">
                  <c:v>1976049206015167.8</c:v>
                </c:pt>
                <c:pt idx="5">
                  <c:v>1812689582972204.5</c:v>
                </c:pt>
                <c:pt idx="6">
                  <c:v>1630754158472568.8</c:v>
                </c:pt>
                <c:pt idx="7">
                  <c:v>1431565261408037</c:v>
                </c:pt>
                <c:pt idx="8">
                  <c:v>1218398667486756.3</c:v>
                </c:pt>
                <c:pt idx="9">
                  <c:v>997030416257298.75</c:v>
                </c:pt>
                <c:pt idx="10">
                  <c:v>776028047155324</c:v>
                </c:pt>
                <c:pt idx="11">
                  <c:v>566447075105626.63</c:v>
                </c:pt>
                <c:pt idx="12">
                  <c:v>380559365341805.06</c:v>
                </c:pt>
                <c:pt idx="13">
                  <c:v>229441674124044.91</c:v>
                </c:pt>
                <c:pt idx="14">
                  <c:v>119827012118540.58</c:v>
                </c:pt>
                <c:pt idx="15">
                  <c:v>51463194813296.289</c:v>
                </c:pt>
                <c:pt idx="16">
                  <c:v>16732602326720.896</c:v>
                </c:pt>
                <c:pt idx="17">
                  <c:v>3549106804920.5151</c:v>
                </c:pt>
                <c:pt idx="18">
                  <c:v>354765199903.70459</c:v>
                </c:pt>
                <c:pt idx="19">
                  <c:v>6003320326.2104321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constants'!$O$5:$O$24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1646543539133235</c:v>
                </c:pt>
                <c:pt idx="1">
                  <c:v>1530742748596801.3</c:v>
                </c:pt>
                <c:pt idx="2">
                  <c:v>1402746085549733.5</c:v>
                </c:pt>
                <c:pt idx="3">
                  <c:v>1262892131842055.8</c:v>
                </c:pt>
                <c:pt idx="4">
                  <c:v>1112384595299142.4</c:v>
                </c:pt>
                <c:pt idx="5">
                  <c:v>953587376548238.38</c:v>
                </c:pt>
                <c:pt idx="6">
                  <c:v>790289375098752.13</c:v>
                </c:pt>
                <c:pt idx="7">
                  <c:v>627834430165305.25</c:v>
                </c:pt>
                <c:pt idx="8">
                  <c:v>472961394483451.25</c:v>
                </c:pt>
                <c:pt idx="9">
                  <c:v>333178721647470.25</c:v>
                </c:pt>
                <c:pt idx="10">
                  <c:v>215566847191237.81</c:v>
                </c:pt>
                <c:pt idx="11">
                  <c:v>125126605237319.86</c:v>
                </c:pt>
                <c:pt idx="12">
                  <c:v>63171221238348.844</c:v>
                </c:pt>
                <c:pt idx="13">
                  <c:v>26602901561779.324</c:v>
                </c:pt>
                <c:pt idx="14">
                  <c:v>8815287939899.4004</c:v>
                </c:pt>
                <c:pt idx="15">
                  <c:v>2109426348676.1653</c:v>
                </c:pt>
                <c:pt idx="16">
                  <c:v>317876896331.04089</c:v>
                </c:pt>
                <c:pt idx="17">
                  <c:v>23566862206.718758</c:v>
                </c:pt>
                <c:pt idx="18">
                  <c:v>500552624.17382711</c:v>
                </c:pt>
                <c:pt idx="19">
                  <c:v>553492.77120249963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constants'!$R$5:$R$24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1163738217742903</c:v>
                </c:pt>
                <c:pt idx="1">
                  <c:v>1045387654286547.9</c:v>
                </c:pt>
                <c:pt idx="2">
                  <c:v>919738780641524</c:v>
                </c:pt>
                <c:pt idx="3">
                  <c:v>788810014465936.5</c:v>
                </c:pt>
                <c:pt idx="4">
                  <c:v>655595372138891.63</c:v>
                </c:pt>
                <c:pt idx="5">
                  <c:v>524111151235589.56</c:v>
                </c:pt>
                <c:pt idx="6">
                  <c:v>399253165930804.94</c:v>
                </c:pt>
                <c:pt idx="7">
                  <c:v>286366488975006.94</c:v>
                </c:pt>
                <c:pt idx="8">
                  <c:v>190471031220252.88</c:v>
                </c:pt>
                <c:pt idx="9">
                  <c:v>115210105519633.06</c:v>
                </c:pt>
                <c:pt idx="10">
                  <c:v>61797849764870.125</c:v>
                </c:pt>
                <c:pt idx="11">
                  <c:v>28447788568444.051</c:v>
                </c:pt>
                <c:pt idx="12">
                  <c:v>10763251421310.838</c:v>
                </c:pt>
                <c:pt idx="13">
                  <c:v>3157552041009.4019</c:v>
                </c:pt>
                <c:pt idx="14">
                  <c:v>662162581825.19189</c:v>
                </c:pt>
                <c:pt idx="15">
                  <c:v>88071201361.878494</c:v>
                </c:pt>
                <c:pt idx="16">
                  <c:v>6137909824.7468634</c:v>
                </c:pt>
                <c:pt idx="17">
                  <c:v>158767539.91285083</c:v>
                </c:pt>
                <c:pt idx="18">
                  <c:v>715539.95192251704</c:v>
                </c:pt>
                <c:pt idx="19">
                  <c:v>51.657005414631769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constants'!$U$5:$U$24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841562219643757.13</c:v>
                </c:pt>
                <c:pt idx="1">
                  <c:v>729865912121208.25</c:v>
                </c:pt>
                <c:pt idx="2">
                  <c:v>615965197740209.13</c:v>
                </c:pt>
                <c:pt idx="3">
                  <c:v>502776080200232</c:v>
                </c:pt>
                <c:pt idx="4">
                  <c:v>393892252834513.38</c:v>
                </c:pt>
                <c:pt idx="5">
                  <c:v>293351157875995.06</c:v>
                </c:pt>
                <c:pt idx="6">
                  <c:v>205178291886709.19</c:v>
                </c:pt>
                <c:pt idx="7">
                  <c:v>132715288649918.16</c:v>
                </c:pt>
                <c:pt idx="8">
                  <c:v>77846721727693.891</c:v>
                </c:pt>
                <c:pt idx="9">
                  <c:v>40382111174518.039</c:v>
                </c:pt>
                <c:pt idx="10">
                  <c:v>17935900046364.086</c:v>
                </c:pt>
                <c:pt idx="11">
                  <c:v>6540063647913.2842</c:v>
                </c:pt>
                <c:pt idx="12">
                  <c:v>1852203723125.2813</c:v>
                </c:pt>
                <c:pt idx="13">
                  <c:v>378092319305.97565</c:v>
                </c:pt>
                <c:pt idx="14">
                  <c:v>50124573680.046707</c:v>
                </c:pt>
                <c:pt idx="15">
                  <c:v>3701953895.366972</c:v>
                </c:pt>
                <c:pt idx="16">
                  <c:v>119214318.62892191</c:v>
                </c:pt>
                <c:pt idx="17">
                  <c:v>1075101.4644478408</c:v>
                </c:pt>
                <c:pt idx="18">
                  <c:v>1027.5524974519076</c:v>
                </c:pt>
                <c:pt idx="19">
                  <c:v>4.8415099472479631E-3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constants'!$X$5:$X$24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616120479356974.88</c:v>
                </c:pt>
                <c:pt idx="1">
                  <c:v>515622585121908.31</c:v>
                </c:pt>
                <c:pt idx="2">
                  <c:v>417188825317247.19</c:v>
                </c:pt>
                <c:pt idx="3">
                  <c:v>323900000314601.63</c:v>
                </c:pt>
                <c:pt idx="4">
                  <c:v>239051308702185.91</c:v>
                </c:pt>
                <c:pt idx="5">
                  <c:v>165749546039226.06</c:v>
                </c:pt>
                <c:pt idx="6">
                  <c:v>106373737872230</c:v>
                </c:pt>
                <c:pt idx="7">
                  <c:v>62008833046764.195</c:v>
                </c:pt>
                <c:pt idx="8">
                  <c:v>32055021493452.102</c:v>
                </c:pt>
                <c:pt idx="9">
                  <c:v>14250886779675.145</c:v>
                </c:pt>
                <c:pt idx="10">
                  <c:v>5237695504744.7969</c:v>
                </c:pt>
                <c:pt idx="11">
                  <c:v>1511825544308.6831</c:v>
                </c:pt>
                <c:pt idx="12">
                  <c:v>320294067472.75568</c:v>
                </c:pt>
                <c:pt idx="13">
                  <c:v>45467597136.529427</c:v>
                </c:pt>
                <c:pt idx="14">
                  <c:v>3808488837.6629953</c:v>
                </c:pt>
                <c:pt idx="15">
                  <c:v>156107832.15556893</c:v>
                </c:pt>
                <c:pt idx="16">
                  <c:v>2321882.260901378</c:v>
                </c:pt>
                <c:pt idx="17">
                  <c:v>7297.6125718280973</c:v>
                </c:pt>
                <c:pt idx="18">
                  <c:v>1.4787560950320811</c:v>
                </c:pt>
                <c:pt idx="19">
                  <c:v>4.5465181963706443E-7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constants'!$AA$5:$AA$24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454456493001817.31</c:v>
                </c:pt>
                <c:pt idx="1">
                  <c:v>366872315228645.56</c:v>
                </c:pt>
                <c:pt idx="2">
                  <c:v>284474405489048.25</c:v>
                </c:pt>
                <c:pt idx="3">
                  <c:v>209997851959956.84</c:v>
                </c:pt>
                <c:pt idx="4">
                  <c:v>145948764601726.78</c:v>
                </c:pt>
                <c:pt idx="5">
                  <c:v>94175119467242.469</c:v>
                </c:pt>
                <c:pt idx="6">
                  <c:v>55434146397634.117</c:v>
                </c:pt>
                <c:pt idx="7">
                  <c:v>29110202861818.41</c:v>
                </c:pt>
                <c:pt idx="8">
                  <c:v>13256540968088.816</c:v>
                </c:pt>
                <c:pt idx="9">
                  <c:v>5048873644794.7178</c:v>
                </c:pt>
                <c:pt idx="10">
                  <c:v>1534907788551.9954</c:v>
                </c:pt>
                <c:pt idx="11">
                  <c:v>350572102351.78918</c:v>
                </c:pt>
                <c:pt idx="12">
                  <c:v>55539713189.80024</c:v>
                </c:pt>
                <c:pt idx="13">
                  <c:v>5480861696.4577398</c:v>
                </c:pt>
                <c:pt idx="14">
                  <c:v>289972520.95320737</c:v>
                </c:pt>
                <c:pt idx="15">
                  <c:v>6594676.668420705</c:v>
                </c:pt>
                <c:pt idx="16">
                  <c:v>45291.434747779917</c:v>
                </c:pt>
                <c:pt idx="17">
                  <c:v>49.600302272757915</c:v>
                </c:pt>
                <c:pt idx="18">
                  <c:v>2.1305506308085349E-3</c:v>
                </c:pt>
                <c:pt idx="19">
                  <c:v>4.2740188108450692E-11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constants'!$AD$5:$AD$24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336863996378212.94</c:v>
                </c:pt>
                <c:pt idx="1">
                  <c:v>262255041202327.34</c:v>
                </c:pt>
                <c:pt idx="2">
                  <c:v>194834530457354</c:v>
                </c:pt>
                <c:pt idx="3">
                  <c:v>136714274623630.75</c:v>
                </c:pt>
                <c:pt idx="4">
                  <c:v>89450970268877.969</c:v>
                </c:pt>
                <c:pt idx="5">
                  <c:v>53699933676456.336</c:v>
                </c:pt>
                <c:pt idx="6">
                  <c:v>28983551144434.582</c:v>
                </c:pt>
                <c:pt idx="7">
                  <c:v>13707112008135.791</c:v>
                </c:pt>
                <c:pt idx="8">
                  <c:v>5497339414392.3145</c:v>
                </c:pt>
                <c:pt idx="9">
                  <c:v>1793151433863.5315</c:v>
                </c:pt>
                <c:pt idx="10">
                  <c:v>450795475230.34204</c:v>
                </c:pt>
                <c:pt idx="11">
                  <c:v>81451374300.672699</c:v>
                </c:pt>
                <c:pt idx="12">
                  <c:v>9647167017.1046314</c:v>
                </c:pt>
                <c:pt idx="13">
                  <c:v>661667819.71372795</c:v>
                </c:pt>
                <c:pt idx="14">
                  <c:v>22106302.808545429</c:v>
                </c:pt>
                <c:pt idx="15">
                  <c:v>278892.75561820797</c:v>
                </c:pt>
                <c:pt idx="16">
                  <c:v>884.29482153509616</c:v>
                </c:pt>
                <c:pt idx="17">
                  <c:v>0.33739242313418094</c:v>
                </c:pt>
                <c:pt idx="18">
                  <c:v>3.071787937873286E-6</c:v>
                </c:pt>
                <c:pt idx="19">
                  <c:v>4.0204147106784592E-15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/mm2/ mrad2/ s /0.1% LB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constants'!$K$5:$K$24</c:f>
              <c:numCache>
                <c:formatCode>0.000000E+00</c:formatCode>
                <c:ptCount val="20"/>
                <c:pt idx="0">
                  <c:v>181897227980.74689</c:v>
                </c:pt>
                <c:pt idx="1">
                  <c:v>179958714161.88727</c:v>
                </c:pt>
                <c:pt idx="2">
                  <c:v>177633813060.57669</c:v>
                </c:pt>
                <c:pt idx="3">
                  <c:v>174838115585.89981</c:v>
                </c:pt>
                <c:pt idx="4">
                  <c:v>171469207493.32111</c:v>
                </c:pt>
                <c:pt idx="5">
                  <c:v>167404099442.1571</c:v>
                </c:pt>
                <c:pt idx="6">
                  <c:v>162497383789.48123</c:v>
                </c:pt>
                <c:pt idx="7">
                  <c:v>156581143014.66556</c:v>
                </c:pt>
                <c:pt idx="8">
                  <c:v>149468278698.52948</c:v>
                </c:pt>
                <c:pt idx="9">
                  <c:v>140961775670.04105</c:v>
                </c:pt>
                <c:pt idx="10">
                  <c:v>130873340880.1562</c:v>
                </c:pt>
                <c:pt idx="11">
                  <c:v>119055481948.5461</c:v>
                </c:pt>
                <c:pt idx="12">
                  <c:v>105450610475.75246</c:v>
                </c:pt>
                <c:pt idx="13">
                  <c:v>90157852491.022888</c:v>
                </c:pt>
                <c:pt idx="14">
                  <c:v>73511396808.935944</c:v>
                </c:pt>
                <c:pt idx="15">
                  <c:v>56152822299.113983</c:v>
                </c:pt>
                <c:pt idx="16">
                  <c:v>39066420693.250114</c:v>
                </c:pt>
                <c:pt idx="17">
                  <c:v>23538717356.416161</c:v>
                </c:pt>
                <c:pt idx="18">
                  <c:v>11012758471.074636</c:v>
                </c:pt>
                <c:pt idx="19">
                  <c:v>2842016567.0038385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constants'!$L$5:$L$24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constants'!$N$5:$N$24</c:f>
              <c:numCache>
                <c:formatCode>0.000000E+00</c:formatCode>
                <c:ptCount val="20"/>
                <c:pt idx="0">
                  <c:v>99893533863.096207</c:v>
                </c:pt>
                <c:pt idx="1">
                  <c:v>95968718401.91954</c:v>
                </c:pt>
                <c:pt idx="2">
                  <c:v>91451847817.36084</c:v>
                </c:pt>
                <c:pt idx="3">
                  <c:v>86276478822.811646</c:v>
                </c:pt>
                <c:pt idx="4">
                  <c:v>80385076896.682312</c:v>
                </c:pt>
                <c:pt idx="5">
                  <c:v>73740019219.187881</c:v>
                </c:pt>
                <c:pt idx="6">
                  <c:v>66339210004.728516</c:v>
                </c:pt>
                <c:pt idx="7">
                  <c:v>58236438550.095497</c:v>
                </c:pt>
                <c:pt idx="8">
                  <c:v>49564963465.999184</c:v>
                </c:pt>
                <c:pt idx="9">
                  <c:v>40559758777.701607</c:v>
                </c:pt>
                <c:pt idx="10">
                  <c:v>31569362879.315678</c:v>
                </c:pt>
                <c:pt idx="11">
                  <c:v>23043531875.951797</c:v>
                </c:pt>
                <c:pt idx="12">
                  <c:v>15481508947.043648</c:v>
                </c:pt>
                <c:pt idx="13">
                  <c:v>9333922870.6605492</c:v>
                </c:pt>
                <c:pt idx="14">
                  <c:v>4874695909.0601072</c:v>
                </c:pt>
                <c:pt idx="15">
                  <c:v>2093583554.7527792</c:v>
                </c:pt>
                <c:pt idx="16">
                  <c:v>680702997.30029154</c:v>
                </c:pt>
                <c:pt idx="17">
                  <c:v>144382222.75799754</c:v>
                </c:pt>
                <c:pt idx="18">
                  <c:v>14432315.359952953</c:v>
                </c:pt>
                <c:pt idx="19">
                  <c:v>244223.08985708261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constants'!$O$5:$O$24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constants'!$Q$5:$Q$24</c:f>
              <c:numCache>
                <c:formatCode>0.000000E+00</c:formatCode>
                <c:ptCount val="20"/>
                <c:pt idx="0">
                  <c:v>66981646290.511269</c:v>
                </c:pt>
                <c:pt idx="1">
                  <c:v>62271082809.820816</c:v>
                </c:pt>
                <c:pt idx="2">
                  <c:v>57064339941.754288</c:v>
                </c:pt>
                <c:pt idx="3">
                  <c:v>51375189130.081856</c:v>
                </c:pt>
                <c:pt idx="4">
                  <c:v>45252596496.605843</c:v>
                </c:pt>
                <c:pt idx="5">
                  <c:v>38792726896.747162</c:v>
                </c:pt>
                <c:pt idx="6">
                  <c:v>32149717037.524239</c:v>
                </c:pt>
                <c:pt idx="7">
                  <c:v>25540962166.889626</c:v>
                </c:pt>
                <c:pt idx="8">
                  <c:v>19240610551.777275</c:v>
                </c:pt>
                <c:pt idx="9">
                  <c:v>13554121126.918846</c:v>
                </c:pt>
                <c:pt idx="10">
                  <c:v>8769542575.1936016</c:v>
                </c:pt>
                <c:pt idx="11">
                  <c:v>5090323888.4562044</c:v>
                </c:pt>
                <c:pt idx="12">
                  <c:v>2569897065.8871403</c:v>
                </c:pt>
                <c:pt idx="13">
                  <c:v>1082246230.3934615</c:v>
                </c:pt>
                <c:pt idx="14">
                  <c:v>358619675.32439029</c:v>
                </c:pt>
                <c:pt idx="15">
                  <c:v>85814846.625122055</c:v>
                </c:pt>
                <c:pt idx="16">
                  <c:v>12931752.955556182</c:v>
                </c:pt>
                <c:pt idx="17">
                  <c:v>958739.20409150864</c:v>
                </c:pt>
                <c:pt idx="18">
                  <c:v>20363.324067781134</c:v>
                </c:pt>
                <c:pt idx="19">
                  <c:v>22.517024855948353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constants'!$R$5:$R$24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constants'!$T$5:$T$24</c:f>
              <c:numCache>
                <c:formatCode>0.000000E+00</c:formatCode>
                <c:ptCount val="20"/>
                <c:pt idx="0">
                  <c:v>47341743351.319077</c:v>
                </c:pt>
                <c:pt idx="1">
                  <c:v>42527266183.902992</c:v>
                </c:pt>
                <c:pt idx="2">
                  <c:v>37415856165.922371</c:v>
                </c:pt>
                <c:pt idx="3">
                  <c:v>32089624504.062668</c:v>
                </c:pt>
                <c:pt idx="4">
                  <c:v>26670371857.118877</c:v>
                </c:pt>
                <c:pt idx="5">
                  <c:v>21321487742.528927</c:v>
                </c:pt>
                <c:pt idx="6">
                  <c:v>16242142928.980082</c:v>
                </c:pt>
                <c:pt idx="7">
                  <c:v>11649786049.099213</c:v>
                </c:pt>
                <c:pt idx="8">
                  <c:v>7748638931.5590191</c:v>
                </c:pt>
                <c:pt idx="9">
                  <c:v>4686922184.396841</c:v>
                </c:pt>
                <c:pt idx="10">
                  <c:v>2514034027.6014085</c:v>
                </c:pt>
                <c:pt idx="11">
                  <c:v>1157302412.9117482</c:v>
                </c:pt>
                <c:pt idx="12">
                  <c:v>437867118.37953037</c:v>
                </c:pt>
                <c:pt idx="13">
                  <c:v>128454643.11672734</c:v>
                </c:pt>
                <c:pt idx="14">
                  <c:v>26937935.475047126</c:v>
                </c:pt>
                <c:pt idx="15">
                  <c:v>3582893.6500623333</c:v>
                </c:pt>
                <c:pt idx="16">
                  <c:v>249701.27829962361</c:v>
                </c:pt>
                <c:pt idx="17">
                  <c:v>6458.9538825214158</c:v>
                </c:pt>
                <c:pt idx="18">
                  <c:v>29.109483718162519</c:v>
                </c:pt>
                <c:pt idx="19">
                  <c:v>2.1015025925653279E-3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constants'!$U$5:$U$24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constants'!$W$5:$W$24</c:f>
              <c:numCache>
                <c:formatCode>0.000000E+00</c:formatCode>
                <c:ptCount val="20"/>
                <c:pt idx="0">
                  <c:v>34235660315.062458</c:v>
                </c:pt>
                <c:pt idx="1">
                  <c:v>29691794941.320786</c:v>
                </c:pt>
                <c:pt idx="2">
                  <c:v>25058230203.31839</c:v>
                </c:pt>
                <c:pt idx="3">
                  <c:v>20453593918.121841</c:v>
                </c:pt>
                <c:pt idx="4">
                  <c:v>16024084141.644785</c:v>
                </c:pt>
                <c:pt idx="5">
                  <c:v>11933952219.255945</c:v>
                </c:pt>
                <c:pt idx="6">
                  <c:v>8346964422.6395149</c:v>
                </c:pt>
                <c:pt idx="7">
                  <c:v>5399067126.0146656</c:v>
                </c:pt>
                <c:pt idx="8">
                  <c:v>3166931517.7195778</c:v>
                </c:pt>
                <c:pt idx="9">
                  <c:v>1642812092.4976463</c:v>
                </c:pt>
                <c:pt idx="10">
                  <c:v>729663340.39041495</c:v>
                </c:pt>
                <c:pt idx="11">
                  <c:v>266061332.79892397</c:v>
                </c:pt>
                <c:pt idx="12">
                  <c:v>75350984.288916841</c:v>
                </c:pt>
                <c:pt idx="13">
                  <c:v>15381488.873128446</c:v>
                </c:pt>
                <c:pt idx="14">
                  <c:v>2039160.9714312139</c:v>
                </c:pt>
                <c:pt idx="15">
                  <c:v>150602.46358685204</c:v>
                </c:pt>
                <c:pt idx="16">
                  <c:v>4849.8655339606075</c:v>
                </c:pt>
                <c:pt idx="17">
                  <c:v>43.737191333554257</c:v>
                </c:pt>
                <c:pt idx="18">
                  <c:v>4.1802819108770289E-2</c:v>
                </c:pt>
                <c:pt idx="19">
                  <c:v>1.9696200152647917E-7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constants'!$X$5:$X$24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constants'!$Z$5:$Z$24</c:f>
              <c:numCache>
                <c:formatCode>0.000000E+00</c:formatCode>
                <c:ptCount val="20"/>
                <c:pt idx="0">
                  <c:v>25064576346.772018</c:v>
                </c:pt>
                <c:pt idx="1">
                  <c:v>20976227606.127781</c:v>
                </c:pt>
                <c:pt idx="2">
                  <c:v>16971835570.670458</c:v>
                </c:pt>
                <c:pt idx="3">
                  <c:v>13176733215.90288</c:v>
                </c:pt>
                <c:pt idx="4">
                  <c:v>9724976238.3744411</c:v>
                </c:pt>
                <c:pt idx="5">
                  <c:v>6742956407.4765291</c:v>
                </c:pt>
                <c:pt idx="6">
                  <c:v>4327459063.4435263</c:v>
                </c:pt>
                <c:pt idx="7">
                  <c:v>2522624518.9572129</c:v>
                </c:pt>
                <c:pt idx="8">
                  <c:v>1304054059.1649435</c:v>
                </c:pt>
                <c:pt idx="9">
                  <c:v>579751450.36570013</c:v>
                </c:pt>
                <c:pt idx="10">
                  <c:v>213078972.91030017</c:v>
                </c:pt>
                <c:pt idx="11">
                  <c:v>61503861.405181408</c:v>
                </c:pt>
                <c:pt idx="12">
                  <c:v>13030165.064251851</c:v>
                </c:pt>
                <c:pt idx="13">
                  <c:v>1849708.5632854127</c:v>
                </c:pt>
                <c:pt idx="14">
                  <c:v>154936.67607344009</c:v>
                </c:pt>
                <c:pt idx="15">
                  <c:v>6350.7709064826095</c:v>
                </c:pt>
                <c:pt idx="16">
                  <c:v>94.45873301746245</c:v>
                </c:pt>
                <c:pt idx="17">
                  <c:v>0.29688130939493407</c:v>
                </c:pt>
                <c:pt idx="18">
                  <c:v>6.015873495635599E-5</c:v>
                </c:pt>
                <c:pt idx="19">
                  <c:v>1.8496141418347047E-11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constants'!$AA$5:$AA$24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constants'!$AC$5:$AC$24</c:f>
              <c:numCache>
                <c:formatCode>0.000000E+00</c:formatCode>
                <c:ptCount val="20"/>
                <c:pt idx="0">
                  <c:v>18487942894.50935</c:v>
                </c:pt>
                <c:pt idx="1">
                  <c:v>14924914001.208818</c:v>
                </c:pt>
                <c:pt idx="2">
                  <c:v>11572859545.589916</c:v>
                </c:pt>
                <c:pt idx="3">
                  <c:v>8543048884.3014593</c:v>
                </c:pt>
                <c:pt idx="4">
                  <c:v>5937436606.2511244</c:v>
                </c:pt>
                <c:pt idx="5">
                  <c:v>3831203617.0696478</c:v>
                </c:pt>
                <c:pt idx="6">
                  <c:v>2255157501.7777996</c:v>
                </c:pt>
                <c:pt idx="7">
                  <c:v>1184254856.7869489</c:v>
                </c:pt>
                <c:pt idx="8">
                  <c:v>539300170.30770075</c:v>
                </c:pt>
                <c:pt idx="9">
                  <c:v>205397524.92649081</c:v>
                </c:pt>
                <c:pt idx="10">
                  <c:v>62442937.724175327</c:v>
                </c:pt>
                <c:pt idx="11">
                  <c:v>14261942.841190116</c:v>
                </c:pt>
                <c:pt idx="12">
                  <c:v>2259463.0361616719</c:v>
                </c:pt>
                <c:pt idx="13">
                  <c:v>222972.18482239204</c:v>
                </c:pt>
                <c:pt idx="14">
                  <c:v>11796.655492666363</c:v>
                </c:pt>
                <c:pt idx="15">
                  <c:v>268.28459380837415</c:v>
                </c:pt>
                <c:pt idx="16">
                  <c:v>1.8425464627999082</c:v>
                </c:pt>
                <c:pt idx="17">
                  <c:v>2.017840357280907E-3</c:v>
                </c:pt>
                <c:pt idx="18">
                  <c:v>8.6675113542108604E-8</c:v>
                </c:pt>
                <c:pt idx="19">
                  <c:v>1.738757581946729E-15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constants'!$AD$5:$AD$24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constants'!$AF$5:$AF$24</c:f>
              <c:numCache>
                <c:formatCode>0.000000E+00</c:formatCode>
                <c:ptCount val="20"/>
                <c:pt idx="0">
                  <c:v>13704147200.79093</c:v>
                </c:pt>
                <c:pt idx="1">
                  <c:v>10668952943.554661</c:v>
                </c:pt>
                <c:pt idx="2">
                  <c:v>7926188424.5813189</c:v>
                </c:pt>
                <c:pt idx="3">
                  <c:v>5561767203.3524628</c:v>
                </c:pt>
                <c:pt idx="4">
                  <c:v>3639020093.7322993</c:v>
                </c:pt>
                <c:pt idx="5">
                  <c:v>2184608270.3962564</c:v>
                </c:pt>
                <c:pt idx="6">
                  <c:v>1179103200.4437912</c:v>
                </c:pt>
                <c:pt idx="7">
                  <c:v>557630546.05544627</c:v>
                </c:pt>
                <c:pt idx="8">
                  <c:v>223642062.86911759</c:v>
                </c:pt>
                <c:pt idx="9">
                  <c:v>72948811.679980353</c:v>
                </c:pt>
                <c:pt idx="10">
                  <c:v>18339229.731804434</c:v>
                </c:pt>
                <c:pt idx="11">
                  <c:v>3313601.0580696943</c:v>
                </c:pt>
                <c:pt idx="12">
                  <c:v>392465.81549382937</c:v>
                </c:pt>
                <c:pt idx="13">
                  <c:v>26917.967035818172</c:v>
                </c:pt>
                <c:pt idx="14">
                  <c:v>899.32887384565731</c:v>
                </c:pt>
                <c:pt idx="15">
                  <c:v>11.345922352689927</c:v>
                </c:pt>
                <c:pt idx="16">
                  <c:v>3.5974915225832883E-2</c:v>
                </c:pt>
                <c:pt idx="17">
                  <c:v>1.3725814303188535E-5</c:v>
                </c:pt>
                <c:pt idx="18">
                  <c:v>1.2496664002051179E-10</c:v>
                </c:pt>
                <c:pt idx="19">
                  <c:v>1.6355874030266533E-19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Magnet'!$E$3:$E$7</c:f>
              <c:numCache>
                <c:formatCode>General</c:formatCode>
                <c:ptCount val="5"/>
                <c:pt idx="0">
                  <c:v>-4.24</c:v>
                </c:pt>
                <c:pt idx="1">
                  <c:v>4.24</c:v>
                </c:pt>
                <c:pt idx="2">
                  <c:v>4.24</c:v>
                </c:pt>
                <c:pt idx="3">
                  <c:v>-4.24</c:v>
                </c:pt>
                <c:pt idx="4">
                  <c:v>-4.24</c:v>
                </c:pt>
              </c:numCache>
            </c:numRef>
          </c:xVal>
          <c:yVal>
            <c:numRef>
              <c:f>'Create Undulator Magnet'!$F$3:$F$7</c:f>
              <c:numCache>
                <c:formatCode>General</c:formatCode>
                <c:ptCount val="5"/>
                <c:pt idx="0">
                  <c:v>-2.38</c:v>
                </c:pt>
                <c:pt idx="1">
                  <c:v>-2.38</c:v>
                </c:pt>
                <c:pt idx="2">
                  <c:v>2.38</c:v>
                </c:pt>
                <c:pt idx="3">
                  <c:v>2.38</c:v>
                </c:pt>
                <c:pt idx="4">
                  <c:v>-2.38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Magnet'!$E$12:$E$13</c:f>
              <c:numCache>
                <c:formatCode>0.00</c:formatCode>
                <c:ptCount val="2"/>
                <c:pt idx="0">
                  <c:v>4.7350900525884878</c:v>
                </c:pt>
                <c:pt idx="1">
                  <c:v>0.56821080631061882</c:v>
                </c:pt>
              </c:numCache>
            </c:numRef>
          </c:xVal>
          <c:yVal>
            <c:numRef>
              <c:f>'Create Undulator Magnet'!$F$12:$F$13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Magnet'!$E$15:$E$16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Magnet'!$F$15:$F$16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Magnet'!$E$18:$E$19</c:f>
              <c:numCache>
                <c:formatCode>0.00</c:formatCode>
                <c:ptCount val="2"/>
                <c:pt idx="0">
                  <c:v>0.56821080631061882</c:v>
                </c:pt>
                <c:pt idx="1">
                  <c:v>4.7350900525884878</c:v>
                </c:pt>
              </c:numCache>
            </c:numRef>
          </c:xVal>
          <c:yVal>
            <c:numRef>
              <c:f>'Create Undulator Magnet'!$F$18:$F$19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Magnet'!$E$21:$E$22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Magnet'!$F$21:$F$22</c:f>
              <c:numCache>
                <c:formatCode>0.00</c:formatCode>
                <c:ptCount val="2"/>
                <c:pt idx="0">
                  <c:v>-0.56821080631061838</c:v>
                </c:pt>
                <c:pt idx="1">
                  <c:v>-4.7350900525884878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-4.24</c:v>
                </c:pt>
                <c:pt idx="1">
                  <c:v>-3.8361904761904766</c:v>
                </c:pt>
                <c:pt idx="2">
                  <c:v>-3.432380952380953</c:v>
                </c:pt>
                <c:pt idx="3">
                  <c:v>-3.0285714285714294</c:v>
                </c:pt>
                <c:pt idx="4">
                  <c:v>-2.6247619047619057</c:v>
                </c:pt>
                <c:pt idx="5">
                  <c:v>-2.2209523809523821</c:v>
                </c:pt>
                <c:pt idx="6">
                  <c:v>-1.8171428571428583</c:v>
                </c:pt>
                <c:pt idx="7">
                  <c:v>-1.4133333333333344</c:v>
                </c:pt>
                <c:pt idx="8">
                  <c:v>-1.0095238095238106</c:v>
                </c:pt>
                <c:pt idx="9">
                  <c:v>-0.60571428571428676</c:v>
                </c:pt>
                <c:pt idx="10">
                  <c:v>-0.20190476190476292</c:v>
                </c:pt>
                <c:pt idx="11">
                  <c:v>0.20190476190476092</c:v>
                </c:pt>
                <c:pt idx="12">
                  <c:v>0.60571428571428476</c:v>
                </c:pt>
                <c:pt idx="13">
                  <c:v>1.0095238095238086</c:v>
                </c:pt>
                <c:pt idx="14">
                  <c:v>1.4133333333333324</c:v>
                </c:pt>
                <c:pt idx="15">
                  <c:v>1.8171428571428563</c:v>
                </c:pt>
                <c:pt idx="16">
                  <c:v>2.2209523809523803</c:v>
                </c:pt>
                <c:pt idx="17">
                  <c:v>2.624761904761904</c:v>
                </c:pt>
                <c:pt idx="18">
                  <c:v>3.0285714285714276</c:v>
                </c:pt>
                <c:pt idx="19">
                  <c:v>3.4323809523809512</c:v>
                </c:pt>
                <c:pt idx="20">
                  <c:v>3.8361904761904748</c:v>
                </c:pt>
                <c:pt idx="21">
                  <c:v>4.2399999999999984</c:v>
                </c:pt>
              </c:numCache>
            </c:numRef>
          </c:xVal>
          <c:yVal>
            <c:numRef>
              <c:f>'Create Undulator Magnet'!$I$3:$I$24</c:f>
              <c:numCache>
                <c:formatCode>General</c:formatCode>
                <c:ptCount val="22"/>
                <c:pt idx="0">
                  <c:v>0</c:v>
                </c:pt>
                <c:pt idx="1">
                  <c:v>1.0136841497999045</c:v>
                </c:pt>
                <c:pt idx="2">
                  <c:v>1.3972671740063012</c:v>
                </c:pt>
                <c:pt idx="3">
                  <c:v>1.6656530250925607</c:v>
                </c:pt>
                <c:pt idx="4">
                  <c:v>1.8691412169466723</c:v>
                </c:pt>
                <c:pt idx="5">
                  <c:v>2.027368299599809</c:v>
                </c:pt>
                <c:pt idx="6">
                  <c:v>2.1503488089144978</c:v>
                </c:pt>
                <c:pt idx="7">
                  <c:v>2.2438855189653104</c:v>
                </c:pt>
                <c:pt idx="8">
                  <c:v>2.3115555128287291</c:v>
                </c:pt>
                <c:pt idx="9">
                  <c:v>2.3555890982936729</c:v>
                </c:pt>
                <c:pt idx="10">
                  <c:v>2.3773000558523432</c:v>
                </c:pt>
                <c:pt idx="11">
                  <c:v>2.3773000558523436</c:v>
                </c:pt>
                <c:pt idx="12">
                  <c:v>2.3555890982936729</c:v>
                </c:pt>
                <c:pt idx="13">
                  <c:v>2.3115555128287291</c:v>
                </c:pt>
                <c:pt idx="14">
                  <c:v>2.2438855189653109</c:v>
                </c:pt>
                <c:pt idx="15">
                  <c:v>2.1503488089144982</c:v>
                </c:pt>
                <c:pt idx="16">
                  <c:v>2.0273682995998095</c:v>
                </c:pt>
                <c:pt idx="17">
                  <c:v>1.8691412169466732</c:v>
                </c:pt>
                <c:pt idx="18">
                  <c:v>1.6656530250925616</c:v>
                </c:pt>
                <c:pt idx="19">
                  <c:v>1.3972671740063025</c:v>
                </c:pt>
                <c:pt idx="20">
                  <c:v>1.0136841497999067</c:v>
                </c:pt>
                <c:pt idx="21">
                  <c:v>6.6348497424438452E-8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-4.24</c:v>
                </c:pt>
                <c:pt idx="1">
                  <c:v>-3.8361904761904766</c:v>
                </c:pt>
                <c:pt idx="2">
                  <c:v>-3.432380952380953</c:v>
                </c:pt>
                <c:pt idx="3">
                  <c:v>-3.0285714285714294</c:v>
                </c:pt>
                <c:pt idx="4">
                  <c:v>-2.6247619047619057</c:v>
                </c:pt>
                <c:pt idx="5">
                  <c:v>-2.2209523809523821</c:v>
                </c:pt>
                <c:pt idx="6">
                  <c:v>-1.8171428571428583</c:v>
                </c:pt>
                <c:pt idx="7">
                  <c:v>-1.4133333333333344</c:v>
                </c:pt>
                <c:pt idx="8">
                  <c:v>-1.0095238095238106</c:v>
                </c:pt>
                <c:pt idx="9">
                  <c:v>-0.60571428571428676</c:v>
                </c:pt>
                <c:pt idx="10">
                  <c:v>-0.20190476190476292</c:v>
                </c:pt>
                <c:pt idx="11">
                  <c:v>0.20190476190476092</c:v>
                </c:pt>
                <c:pt idx="12">
                  <c:v>0.60571428571428476</c:v>
                </c:pt>
                <c:pt idx="13">
                  <c:v>1.0095238095238086</c:v>
                </c:pt>
                <c:pt idx="14">
                  <c:v>1.4133333333333324</c:v>
                </c:pt>
                <c:pt idx="15">
                  <c:v>1.8171428571428563</c:v>
                </c:pt>
                <c:pt idx="16">
                  <c:v>2.2209523809523803</c:v>
                </c:pt>
                <c:pt idx="17">
                  <c:v>2.624761904761904</c:v>
                </c:pt>
                <c:pt idx="18">
                  <c:v>3.0285714285714276</c:v>
                </c:pt>
                <c:pt idx="19">
                  <c:v>3.4323809523809512</c:v>
                </c:pt>
                <c:pt idx="20">
                  <c:v>3.8361904761904748</c:v>
                </c:pt>
                <c:pt idx="21">
                  <c:v>4.2399999999999984</c:v>
                </c:pt>
              </c:numCache>
            </c:numRef>
          </c:xVal>
          <c:yVal>
            <c:numRef>
              <c:f>'Create Undulator Magnet'!$J$3:$J$24</c:f>
              <c:numCache>
                <c:formatCode>General</c:formatCode>
                <c:ptCount val="22"/>
                <c:pt idx="0">
                  <c:v>0</c:v>
                </c:pt>
                <c:pt idx="1">
                  <c:v>-1.0136841497999045</c:v>
                </c:pt>
                <c:pt idx="2">
                  <c:v>-1.3972671740063012</c:v>
                </c:pt>
                <c:pt idx="3">
                  <c:v>-1.6656530250925607</c:v>
                </c:pt>
                <c:pt idx="4">
                  <c:v>-1.8691412169466723</c:v>
                </c:pt>
                <c:pt idx="5">
                  <c:v>-2.027368299599809</c:v>
                </c:pt>
                <c:pt idx="6">
                  <c:v>-2.1503488089144978</c:v>
                </c:pt>
                <c:pt idx="7">
                  <c:v>-2.2438855189653104</c:v>
                </c:pt>
                <c:pt idx="8">
                  <c:v>-2.3115555128287291</c:v>
                </c:pt>
                <c:pt idx="9">
                  <c:v>-2.3555890982936729</c:v>
                </c:pt>
                <c:pt idx="10">
                  <c:v>-2.3773000558523432</c:v>
                </c:pt>
                <c:pt idx="11">
                  <c:v>-2.3773000558523436</c:v>
                </c:pt>
                <c:pt idx="12">
                  <c:v>-2.3555890982936729</c:v>
                </c:pt>
                <c:pt idx="13">
                  <c:v>-2.3115555128287291</c:v>
                </c:pt>
                <c:pt idx="14">
                  <c:v>-2.2438855189653109</c:v>
                </c:pt>
                <c:pt idx="15">
                  <c:v>-2.1503488089144982</c:v>
                </c:pt>
                <c:pt idx="16">
                  <c:v>-2.0273682995998095</c:v>
                </c:pt>
                <c:pt idx="17">
                  <c:v>-1.8691412169466732</c:v>
                </c:pt>
                <c:pt idx="18">
                  <c:v>-1.6656530250925616</c:v>
                </c:pt>
                <c:pt idx="19">
                  <c:v>-1.3972671740063025</c:v>
                </c:pt>
                <c:pt idx="20">
                  <c:v>-1.0136841497999067</c:v>
                </c:pt>
                <c:pt idx="21">
                  <c:v>-6.6348497424438452E-8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12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  <c:max val="12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Magnet'!$N$4:$N$18</c:f>
              <c:numCache>
                <c:formatCode>General</c:formatCode>
                <c:ptCount val="15"/>
                <c:pt idx="0">
                  <c:v>-2.75</c:v>
                </c:pt>
                <c:pt idx="1">
                  <c:v>2.75</c:v>
                </c:pt>
                <c:pt idx="2">
                  <c:v>11.25</c:v>
                </c:pt>
                <c:pt idx="3">
                  <c:v>11.25</c:v>
                </c:pt>
                <c:pt idx="4">
                  <c:v>8.5</c:v>
                </c:pt>
                <c:pt idx="5">
                  <c:v>11.25</c:v>
                </c:pt>
                <c:pt idx="6">
                  <c:v>11.25</c:v>
                </c:pt>
                <c:pt idx="7">
                  <c:v>10.75</c:v>
                </c:pt>
                <c:pt idx="8">
                  <c:v>-10.25</c:v>
                </c:pt>
                <c:pt idx="9">
                  <c:v>-10.75</c:v>
                </c:pt>
                <c:pt idx="10">
                  <c:v>-10.75</c:v>
                </c:pt>
                <c:pt idx="11">
                  <c:v>-8</c:v>
                </c:pt>
                <c:pt idx="12">
                  <c:v>-10.75</c:v>
                </c:pt>
                <c:pt idx="13">
                  <c:v>-10.75</c:v>
                </c:pt>
                <c:pt idx="14">
                  <c:v>-2.75</c:v>
                </c:pt>
              </c:numCache>
            </c:numRef>
          </c:xVal>
          <c:yVal>
            <c:numRef>
              <c:f>'Create Undulator Magnet'!$O$4:$O$18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9.5</c:v>
                </c:pt>
                <c:pt idx="3">
                  <c:v>15.75</c:v>
                </c:pt>
                <c:pt idx="4">
                  <c:v>18.5</c:v>
                </c:pt>
                <c:pt idx="5">
                  <c:v>21.25</c:v>
                </c:pt>
                <c:pt idx="6">
                  <c:v>24.5</c:v>
                </c:pt>
                <c:pt idx="7">
                  <c:v>25</c:v>
                </c:pt>
                <c:pt idx="8">
                  <c:v>25</c:v>
                </c:pt>
                <c:pt idx="9">
                  <c:v>24.5</c:v>
                </c:pt>
                <c:pt idx="10">
                  <c:v>21.25</c:v>
                </c:pt>
                <c:pt idx="11">
                  <c:v>18.5</c:v>
                </c:pt>
                <c:pt idx="12">
                  <c:v>15.75</c:v>
                </c:pt>
                <c:pt idx="13">
                  <c:v>9.5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Magnet'!$P$4:$P$18</c:f>
              <c:numCache>
                <c:formatCode>General</c:formatCode>
                <c:ptCount val="15"/>
                <c:pt idx="0">
                  <c:v>-2.9464285714285712</c:v>
                </c:pt>
                <c:pt idx="1">
                  <c:v>2.9464285714285712</c:v>
                </c:pt>
                <c:pt idx="2">
                  <c:v>12.053571428571429</c:v>
                </c:pt>
                <c:pt idx="3">
                  <c:v>12.053571428571429</c:v>
                </c:pt>
                <c:pt idx="4">
                  <c:v>9.1071428571428577</c:v>
                </c:pt>
                <c:pt idx="5">
                  <c:v>12.053571428571429</c:v>
                </c:pt>
                <c:pt idx="6">
                  <c:v>12.053571428571429</c:v>
                </c:pt>
                <c:pt idx="7">
                  <c:v>11.517857142857142</c:v>
                </c:pt>
                <c:pt idx="8">
                  <c:v>-10.982142857142858</c:v>
                </c:pt>
                <c:pt idx="9">
                  <c:v>-11.517857142857142</c:v>
                </c:pt>
                <c:pt idx="10">
                  <c:v>-11.517857142857142</c:v>
                </c:pt>
                <c:pt idx="11">
                  <c:v>-8.5714285714285712</c:v>
                </c:pt>
                <c:pt idx="12">
                  <c:v>-11.517857142857142</c:v>
                </c:pt>
                <c:pt idx="13">
                  <c:v>-11.517857142857142</c:v>
                </c:pt>
                <c:pt idx="14">
                  <c:v>-2.9464285714285712</c:v>
                </c:pt>
              </c:numCache>
            </c:numRef>
          </c:xVal>
          <c:yVal>
            <c:numRef>
              <c:f>'Create Undulator Magnet'!$Q$4:$Q$18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10.178571428571429</c:v>
                </c:pt>
                <c:pt idx="3">
                  <c:v>16.875</c:v>
                </c:pt>
                <c:pt idx="4">
                  <c:v>19.821428571428569</c:v>
                </c:pt>
                <c:pt idx="5">
                  <c:v>22.767857142857142</c:v>
                </c:pt>
                <c:pt idx="6">
                  <c:v>26.25</c:v>
                </c:pt>
                <c:pt idx="7">
                  <c:v>26.785714285714285</c:v>
                </c:pt>
                <c:pt idx="8">
                  <c:v>26.785714285714285</c:v>
                </c:pt>
                <c:pt idx="9">
                  <c:v>26.25</c:v>
                </c:pt>
                <c:pt idx="10">
                  <c:v>22.767857142857142</c:v>
                </c:pt>
                <c:pt idx="11">
                  <c:v>19.821428571428569</c:v>
                </c:pt>
                <c:pt idx="12">
                  <c:v>16.875</c:v>
                </c:pt>
                <c:pt idx="13">
                  <c:v>10.178571428571429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constants'!$J$5:$J$24</c:f>
              <c:numCache>
                <c:formatCode>0.000000E+00</c:formatCode>
                <c:ptCount val="20"/>
                <c:pt idx="0">
                  <c:v>4472315044920181.5</c:v>
                </c:pt>
                <c:pt idx="1">
                  <c:v>4424570807892213</c:v>
                </c:pt>
                <c:pt idx="2">
                  <c:v>4367332712626342.5</c:v>
                </c:pt>
                <c:pt idx="3">
                  <c:v>4298525836306347</c:v>
                </c:pt>
                <c:pt idx="4">
                  <c:v>4215632668808062.5</c:v>
                </c:pt>
                <c:pt idx="5">
                  <c:v>4115629943529267.5</c:v>
                </c:pt>
                <c:pt idx="6">
                  <c:v>3994943333704211</c:v>
                </c:pt>
                <c:pt idx="7">
                  <c:v>3849445207694963</c:v>
                </c:pt>
                <c:pt idx="8">
                  <c:v>3674536467697851.5</c:v>
                </c:pt>
                <c:pt idx="9">
                  <c:v>3465374284101748</c:v>
                </c:pt>
                <c:pt idx="10">
                  <c:v>3217330273504441.5</c:v>
                </c:pt>
                <c:pt idx="11">
                  <c:v>2926779040238976.5</c:v>
                </c:pt>
                <c:pt idx="12">
                  <c:v>2592305204646791.5</c:v>
                </c:pt>
                <c:pt idx="13">
                  <c:v>2216345687630132.5</c:v>
                </c:pt>
                <c:pt idx="14">
                  <c:v>1807115599907413.8</c:v>
                </c:pt>
                <c:pt idx="15">
                  <c:v>1380386111415517.5</c:v>
                </c:pt>
                <c:pt idx="16">
                  <c:v>960352692950449.25</c:v>
                </c:pt>
                <c:pt idx="17">
                  <c:v>578640046106492.25</c:v>
                </c:pt>
                <c:pt idx="18">
                  <c:v>270720270988293.22</c:v>
                </c:pt>
                <c:pt idx="19">
                  <c:v>69863549743461.445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constants'!$L$5:$L$24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2455667700942898</c:v>
                </c:pt>
                <c:pt idx="1">
                  <c:v>2359169991997539</c:v>
                </c:pt>
                <c:pt idx="2">
                  <c:v>2248119963388206</c:v>
                </c:pt>
                <c:pt idx="3">
                  <c:v>2120884428744536.8</c:v>
                </c:pt>
                <c:pt idx="4">
                  <c:v>1976049206015167.8</c:v>
                </c:pt>
                <c:pt idx="5">
                  <c:v>1812689582972204.5</c:v>
                </c:pt>
                <c:pt idx="6">
                  <c:v>1630754158472568.8</c:v>
                </c:pt>
                <c:pt idx="7">
                  <c:v>1431565261408037</c:v>
                </c:pt>
                <c:pt idx="8">
                  <c:v>1218398667486756.3</c:v>
                </c:pt>
                <c:pt idx="9">
                  <c:v>997030416257298.75</c:v>
                </c:pt>
                <c:pt idx="10">
                  <c:v>776028047155324</c:v>
                </c:pt>
                <c:pt idx="11">
                  <c:v>566447075105626.63</c:v>
                </c:pt>
                <c:pt idx="12">
                  <c:v>380559365341805.06</c:v>
                </c:pt>
                <c:pt idx="13">
                  <c:v>229441674124044.91</c:v>
                </c:pt>
                <c:pt idx="14">
                  <c:v>119827012118540.58</c:v>
                </c:pt>
                <c:pt idx="15">
                  <c:v>51463194813296.289</c:v>
                </c:pt>
                <c:pt idx="16">
                  <c:v>16732602326720.896</c:v>
                </c:pt>
                <c:pt idx="17">
                  <c:v>3549106804920.5151</c:v>
                </c:pt>
                <c:pt idx="18">
                  <c:v>354765199903.70459</c:v>
                </c:pt>
                <c:pt idx="19">
                  <c:v>6003320326.2104321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constants'!$O$5:$O$24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1646543539133235</c:v>
                </c:pt>
                <c:pt idx="1">
                  <c:v>1530742748596801.3</c:v>
                </c:pt>
                <c:pt idx="2">
                  <c:v>1402746085549733.5</c:v>
                </c:pt>
                <c:pt idx="3">
                  <c:v>1262892131842055.8</c:v>
                </c:pt>
                <c:pt idx="4">
                  <c:v>1112384595299142.4</c:v>
                </c:pt>
                <c:pt idx="5">
                  <c:v>953587376548238.38</c:v>
                </c:pt>
                <c:pt idx="6">
                  <c:v>790289375098752.13</c:v>
                </c:pt>
                <c:pt idx="7">
                  <c:v>627834430165305.25</c:v>
                </c:pt>
                <c:pt idx="8">
                  <c:v>472961394483451.25</c:v>
                </c:pt>
                <c:pt idx="9">
                  <c:v>333178721647470.25</c:v>
                </c:pt>
                <c:pt idx="10">
                  <c:v>215566847191237.81</c:v>
                </c:pt>
                <c:pt idx="11">
                  <c:v>125126605237319.86</c:v>
                </c:pt>
                <c:pt idx="12">
                  <c:v>63171221238348.844</c:v>
                </c:pt>
                <c:pt idx="13">
                  <c:v>26602901561779.324</c:v>
                </c:pt>
                <c:pt idx="14">
                  <c:v>8815287939899.4004</c:v>
                </c:pt>
                <c:pt idx="15">
                  <c:v>2109426348676.1653</c:v>
                </c:pt>
                <c:pt idx="16">
                  <c:v>317876896331.04089</c:v>
                </c:pt>
                <c:pt idx="17">
                  <c:v>23566862206.718758</c:v>
                </c:pt>
                <c:pt idx="18">
                  <c:v>500552624.17382711</c:v>
                </c:pt>
                <c:pt idx="19">
                  <c:v>553492.77120249963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constants'!$R$5:$R$24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1163738217742903</c:v>
                </c:pt>
                <c:pt idx="1">
                  <c:v>1045387654286547.9</c:v>
                </c:pt>
                <c:pt idx="2">
                  <c:v>919738780641524</c:v>
                </c:pt>
                <c:pt idx="3">
                  <c:v>788810014465936.5</c:v>
                </c:pt>
                <c:pt idx="4">
                  <c:v>655595372138891.63</c:v>
                </c:pt>
                <c:pt idx="5">
                  <c:v>524111151235589.56</c:v>
                </c:pt>
                <c:pt idx="6">
                  <c:v>399253165930804.94</c:v>
                </c:pt>
                <c:pt idx="7">
                  <c:v>286366488975006.94</c:v>
                </c:pt>
                <c:pt idx="8">
                  <c:v>190471031220252.88</c:v>
                </c:pt>
                <c:pt idx="9">
                  <c:v>115210105519633.06</c:v>
                </c:pt>
                <c:pt idx="10">
                  <c:v>61797849764870.125</c:v>
                </c:pt>
                <c:pt idx="11">
                  <c:v>28447788568444.051</c:v>
                </c:pt>
                <c:pt idx="12">
                  <c:v>10763251421310.838</c:v>
                </c:pt>
                <c:pt idx="13">
                  <c:v>3157552041009.4019</c:v>
                </c:pt>
                <c:pt idx="14">
                  <c:v>662162581825.19189</c:v>
                </c:pt>
                <c:pt idx="15">
                  <c:v>88071201361.878494</c:v>
                </c:pt>
                <c:pt idx="16">
                  <c:v>6137909824.7468634</c:v>
                </c:pt>
                <c:pt idx="17">
                  <c:v>158767539.91285083</c:v>
                </c:pt>
                <c:pt idx="18">
                  <c:v>715539.95192251704</c:v>
                </c:pt>
                <c:pt idx="19">
                  <c:v>51.657005414631769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constants'!$U$5:$U$24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841562219643757.13</c:v>
                </c:pt>
                <c:pt idx="1">
                  <c:v>729865912121208.25</c:v>
                </c:pt>
                <c:pt idx="2">
                  <c:v>615965197740209.13</c:v>
                </c:pt>
                <c:pt idx="3">
                  <c:v>502776080200232</c:v>
                </c:pt>
                <c:pt idx="4">
                  <c:v>393892252834513.38</c:v>
                </c:pt>
                <c:pt idx="5">
                  <c:v>293351157875995.06</c:v>
                </c:pt>
                <c:pt idx="6">
                  <c:v>205178291886709.19</c:v>
                </c:pt>
                <c:pt idx="7">
                  <c:v>132715288649918.16</c:v>
                </c:pt>
                <c:pt idx="8">
                  <c:v>77846721727693.891</c:v>
                </c:pt>
                <c:pt idx="9">
                  <c:v>40382111174518.039</c:v>
                </c:pt>
                <c:pt idx="10">
                  <c:v>17935900046364.086</c:v>
                </c:pt>
                <c:pt idx="11">
                  <c:v>6540063647913.2842</c:v>
                </c:pt>
                <c:pt idx="12">
                  <c:v>1852203723125.2813</c:v>
                </c:pt>
                <c:pt idx="13">
                  <c:v>378092319305.97565</c:v>
                </c:pt>
                <c:pt idx="14">
                  <c:v>50124573680.046707</c:v>
                </c:pt>
                <c:pt idx="15">
                  <c:v>3701953895.366972</c:v>
                </c:pt>
                <c:pt idx="16">
                  <c:v>119214318.62892191</c:v>
                </c:pt>
                <c:pt idx="17">
                  <c:v>1075101.4644478408</c:v>
                </c:pt>
                <c:pt idx="18">
                  <c:v>1027.5524974519076</c:v>
                </c:pt>
                <c:pt idx="19">
                  <c:v>4.8415099472479631E-3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constants'!$X$5:$X$24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616120479356974.88</c:v>
                </c:pt>
                <c:pt idx="1">
                  <c:v>515622585121908.31</c:v>
                </c:pt>
                <c:pt idx="2">
                  <c:v>417188825317247.19</c:v>
                </c:pt>
                <c:pt idx="3">
                  <c:v>323900000314601.63</c:v>
                </c:pt>
                <c:pt idx="4">
                  <c:v>239051308702185.91</c:v>
                </c:pt>
                <c:pt idx="5">
                  <c:v>165749546039226.06</c:v>
                </c:pt>
                <c:pt idx="6">
                  <c:v>106373737872230</c:v>
                </c:pt>
                <c:pt idx="7">
                  <c:v>62008833046764.195</c:v>
                </c:pt>
                <c:pt idx="8">
                  <c:v>32055021493452.102</c:v>
                </c:pt>
                <c:pt idx="9">
                  <c:v>14250886779675.145</c:v>
                </c:pt>
                <c:pt idx="10">
                  <c:v>5237695504744.7969</c:v>
                </c:pt>
                <c:pt idx="11">
                  <c:v>1511825544308.6831</c:v>
                </c:pt>
                <c:pt idx="12">
                  <c:v>320294067472.75568</c:v>
                </c:pt>
                <c:pt idx="13">
                  <c:v>45467597136.529427</c:v>
                </c:pt>
                <c:pt idx="14">
                  <c:v>3808488837.6629953</c:v>
                </c:pt>
                <c:pt idx="15">
                  <c:v>156107832.15556893</c:v>
                </c:pt>
                <c:pt idx="16">
                  <c:v>2321882.260901378</c:v>
                </c:pt>
                <c:pt idx="17">
                  <c:v>7297.6125718280973</c:v>
                </c:pt>
                <c:pt idx="18">
                  <c:v>1.4787560950320811</c:v>
                </c:pt>
                <c:pt idx="19">
                  <c:v>4.5465181963706443E-7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constants'!$AA$5:$AA$24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454456493001817.31</c:v>
                </c:pt>
                <c:pt idx="1">
                  <c:v>366872315228645.56</c:v>
                </c:pt>
                <c:pt idx="2">
                  <c:v>284474405489048.25</c:v>
                </c:pt>
                <c:pt idx="3">
                  <c:v>209997851959956.84</c:v>
                </c:pt>
                <c:pt idx="4">
                  <c:v>145948764601726.78</c:v>
                </c:pt>
                <c:pt idx="5">
                  <c:v>94175119467242.469</c:v>
                </c:pt>
                <c:pt idx="6">
                  <c:v>55434146397634.117</c:v>
                </c:pt>
                <c:pt idx="7">
                  <c:v>29110202861818.41</c:v>
                </c:pt>
                <c:pt idx="8">
                  <c:v>13256540968088.816</c:v>
                </c:pt>
                <c:pt idx="9">
                  <c:v>5048873644794.7178</c:v>
                </c:pt>
                <c:pt idx="10">
                  <c:v>1534907788551.9954</c:v>
                </c:pt>
                <c:pt idx="11">
                  <c:v>350572102351.78918</c:v>
                </c:pt>
                <c:pt idx="12">
                  <c:v>55539713189.80024</c:v>
                </c:pt>
                <c:pt idx="13">
                  <c:v>5480861696.4577398</c:v>
                </c:pt>
                <c:pt idx="14">
                  <c:v>289972520.95320737</c:v>
                </c:pt>
                <c:pt idx="15">
                  <c:v>6594676.668420705</c:v>
                </c:pt>
                <c:pt idx="16">
                  <c:v>45291.434747779917</c:v>
                </c:pt>
                <c:pt idx="17">
                  <c:v>49.600302272757915</c:v>
                </c:pt>
                <c:pt idx="18">
                  <c:v>2.1305506308085349E-3</c:v>
                </c:pt>
                <c:pt idx="19">
                  <c:v>4.2740188108450692E-11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constants'!$AD$5:$AD$24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336863996378212.94</c:v>
                </c:pt>
                <c:pt idx="1">
                  <c:v>262255041202327.34</c:v>
                </c:pt>
                <c:pt idx="2">
                  <c:v>194834530457354</c:v>
                </c:pt>
                <c:pt idx="3">
                  <c:v>136714274623630.75</c:v>
                </c:pt>
                <c:pt idx="4">
                  <c:v>89450970268877.969</c:v>
                </c:pt>
                <c:pt idx="5">
                  <c:v>53699933676456.336</c:v>
                </c:pt>
                <c:pt idx="6">
                  <c:v>28983551144434.582</c:v>
                </c:pt>
                <c:pt idx="7">
                  <c:v>13707112008135.791</c:v>
                </c:pt>
                <c:pt idx="8">
                  <c:v>5497339414392.3145</c:v>
                </c:pt>
                <c:pt idx="9">
                  <c:v>1793151433863.5315</c:v>
                </c:pt>
                <c:pt idx="10">
                  <c:v>450795475230.34204</c:v>
                </c:pt>
                <c:pt idx="11">
                  <c:v>81451374300.672699</c:v>
                </c:pt>
                <c:pt idx="12">
                  <c:v>9647167017.1046314</c:v>
                </c:pt>
                <c:pt idx="13">
                  <c:v>661667819.71372795</c:v>
                </c:pt>
                <c:pt idx="14">
                  <c:v>22106302.808545429</c:v>
                </c:pt>
                <c:pt idx="15">
                  <c:v>278892.75561820797</c:v>
                </c:pt>
                <c:pt idx="16">
                  <c:v>884.29482153509616</c:v>
                </c:pt>
                <c:pt idx="17">
                  <c:v>0.33739242313418094</c:v>
                </c:pt>
                <c:pt idx="18">
                  <c:v>3.071787937873286E-6</c:v>
                </c:pt>
                <c:pt idx="19">
                  <c:v>4.0204147106784592E-15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constants'!$J$5:$J$24</c:f>
              <c:numCache>
                <c:formatCode>0.000000E+00</c:formatCode>
                <c:ptCount val="20"/>
                <c:pt idx="0">
                  <c:v>4472315044920181.5</c:v>
                </c:pt>
                <c:pt idx="1">
                  <c:v>4424570807892213</c:v>
                </c:pt>
                <c:pt idx="2">
                  <c:v>4367332712626342.5</c:v>
                </c:pt>
                <c:pt idx="3">
                  <c:v>4298525836306347</c:v>
                </c:pt>
                <c:pt idx="4">
                  <c:v>4215632668808062.5</c:v>
                </c:pt>
                <c:pt idx="5">
                  <c:v>4115629943529267.5</c:v>
                </c:pt>
                <c:pt idx="6">
                  <c:v>3994943333704211</c:v>
                </c:pt>
                <c:pt idx="7">
                  <c:v>3849445207694963</c:v>
                </c:pt>
                <c:pt idx="8">
                  <c:v>3674536467697851.5</c:v>
                </c:pt>
                <c:pt idx="9">
                  <c:v>3465374284101748</c:v>
                </c:pt>
                <c:pt idx="10">
                  <c:v>3217330273504441.5</c:v>
                </c:pt>
                <c:pt idx="11">
                  <c:v>2926779040238976.5</c:v>
                </c:pt>
                <c:pt idx="12">
                  <c:v>2592305204646791.5</c:v>
                </c:pt>
                <c:pt idx="13">
                  <c:v>2216345687630132.5</c:v>
                </c:pt>
                <c:pt idx="14">
                  <c:v>1807115599907413.8</c:v>
                </c:pt>
                <c:pt idx="15">
                  <c:v>1380386111415517.5</c:v>
                </c:pt>
                <c:pt idx="16">
                  <c:v>960352692950449.25</c:v>
                </c:pt>
                <c:pt idx="17">
                  <c:v>578640046106492.25</c:v>
                </c:pt>
                <c:pt idx="18">
                  <c:v>270720270988293.22</c:v>
                </c:pt>
                <c:pt idx="19">
                  <c:v>69863549743461.445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constants'!$L$5:$L$24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2455667700942898</c:v>
                </c:pt>
                <c:pt idx="1">
                  <c:v>2359169991997539</c:v>
                </c:pt>
                <c:pt idx="2">
                  <c:v>2248119963388206</c:v>
                </c:pt>
                <c:pt idx="3">
                  <c:v>2120884428744536.8</c:v>
                </c:pt>
                <c:pt idx="4">
                  <c:v>1976049206015167.8</c:v>
                </c:pt>
                <c:pt idx="5">
                  <c:v>1812689582972204.5</c:v>
                </c:pt>
                <c:pt idx="6">
                  <c:v>1630754158472568.8</c:v>
                </c:pt>
                <c:pt idx="7">
                  <c:v>1431565261408037</c:v>
                </c:pt>
                <c:pt idx="8">
                  <c:v>1218398667486756.3</c:v>
                </c:pt>
                <c:pt idx="9">
                  <c:v>997030416257298.75</c:v>
                </c:pt>
                <c:pt idx="10">
                  <c:v>776028047155324</c:v>
                </c:pt>
                <c:pt idx="11">
                  <c:v>566447075105626.63</c:v>
                </c:pt>
                <c:pt idx="12">
                  <c:v>380559365341805.06</c:v>
                </c:pt>
                <c:pt idx="13">
                  <c:v>229441674124044.91</c:v>
                </c:pt>
                <c:pt idx="14">
                  <c:v>119827012118540.58</c:v>
                </c:pt>
                <c:pt idx="15">
                  <c:v>51463194813296.289</c:v>
                </c:pt>
                <c:pt idx="16">
                  <c:v>16732602326720.896</c:v>
                </c:pt>
                <c:pt idx="17">
                  <c:v>3549106804920.5151</c:v>
                </c:pt>
                <c:pt idx="18">
                  <c:v>354765199903.70459</c:v>
                </c:pt>
                <c:pt idx="19">
                  <c:v>6003320326.2104321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constants'!$O$5:$O$24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1646543539133235</c:v>
                </c:pt>
                <c:pt idx="1">
                  <c:v>1530742748596801.3</c:v>
                </c:pt>
                <c:pt idx="2">
                  <c:v>1402746085549733.5</c:v>
                </c:pt>
                <c:pt idx="3">
                  <c:v>1262892131842055.8</c:v>
                </c:pt>
                <c:pt idx="4">
                  <c:v>1112384595299142.4</c:v>
                </c:pt>
                <c:pt idx="5">
                  <c:v>953587376548238.38</c:v>
                </c:pt>
                <c:pt idx="6">
                  <c:v>790289375098752.13</c:v>
                </c:pt>
                <c:pt idx="7">
                  <c:v>627834430165305.25</c:v>
                </c:pt>
                <c:pt idx="8">
                  <c:v>472961394483451.25</c:v>
                </c:pt>
                <c:pt idx="9">
                  <c:v>333178721647470.25</c:v>
                </c:pt>
                <c:pt idx="10">
                  <c:v>215566847191237.81</c:v>
                </c:pt>
                <c:pt idx="11">
                  <c:v>125126605237319.86</c:v>
                </c:pt>
                <c:pt idx="12">
                  <c:v>63171221238348.844</c:v>
                </c:pt>
                <c:pt idx="13">
                  <c:v>26602901561779.324</c:v>
                </c:pt>
                <c:pt idx="14">
                  <c:v>8815287939899.4004</c:v>
                </c:pt>
                <c:pt idx="15">
                  <c:v>2109426348676.1653</c:v>
                </c:pt>
                <c:pt idx="16">
                  <c:v>317876896331.04089</c:v>
                </c:pt>
                <c:pt idx="17">
                  <c:v>23566862206.718758</c:v>
                </c:pt>
                <c:pt idx="18">
                  <c:v>500552624.17382711</c:v>
                </c:pt>
                <c:pt idx="19">
                  <c:v>553492.77120249963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constants'!$R$5:$R$24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1163738217742903</c:v>
                </c:pt>
                <c:pt idx="1">
                  <c:v>1045387654286547.9</c:v>
                </c:pt>
                <c:pt idx="2">
                  <c:v>919738780641524</c:v>
                </c:pt>
                <c:pt idx="3">
                  <c:v>788810014465936.5</c:v>
                </c:pt>
                <c:pt idx="4">
                  <c:v>655595372138891.63</c:v>
                </c:pt>
                <c:pt idx="5">
                  <c:v>524111151235589.56</c:v>
                </c:pt>
                <c:pt idx="6">
                  <c:v>399253165930804.94</c:v>
                </c:pt>
                <c:pt idx="7">
                  <c:v>286366488975006.94</c:v>
                </c:pt>
                <c:pt idx="8">
                  <c:v>190471031220252.88</c:v>
                </c:pt>
                <c:pt idx="9">
                  <c:v>115210105519633.06</c:v>
                </c:pt>
                <c:pt idx="10">
                  <c:v>61797849764870.125</c:v>
                </c:pt>
                <c:pt idx="11">
                  <c:v>28447788568444.051</c:v>
                </c:pt>
                <c:pt idx="12">
                  <c:v>10763251421310.838</c:v>
                </c:pt>
                <c:pt idx="13">
                  <c:v>3157552041009.4019</c:v>
                </c:pt>
                <c:pt idx="14">
                  <c:v>662162581825.19189</c:v>
                </c:pt>
                <c:pt idx="15">
                  <c:v>88071201361.878494</c:v>
                </c:pt>
                <c:pt idx="16">
                  <c:v>6137909824.7468634</c:v>
                </c:pt>
                <c:pt idx="17">
                  <c:v>158767539.91285083</c:v>
                </c:pt>
                <c:pt idx="18">
                  <c:v>715539.95192251704</c:v>
                </c:pt>
                <c:pt idx="19">
                  <c:v>51.657005414631769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constants'!$U$5:$U$24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841562219643757.13</c:v>
                </c:pt>
                <c:pt idx="1">
                  <c:v>729865912121208.25</c:v>
                </c:pt>
                <c:pt idx="2">
                  <c:v>615965197740209.13</c:v>
                </c:pt>
                <c:pt idx="3">
                  <c:v>502776080200232</c:v>
                </c:pt>
                <c:pt idx="4">
                  <c:v>393892252834513.38</c:v>
                </c:pt>
                <c:pt idx="5">
                  <c:v>293351157875995.06</c:v>
                </c:pt>
                <c:pt idx="6">
                  <c:v>205178291886709.19</c:v>
                </c:pt>
                <c:pt idx="7">
                  <c:v>132715288649918.16</c:v>
                </c:pt>
                <c:pt idx="8">
                  <c:v>77846721727693.891</c:v>
                </c:pt>
                <c:pt idx="9">
                  <c:v>40382111174518.039</c:v>
                </c:pt>
                <c:pt idx="10">
                  <c:v>17935900046364.086</c:v>
                </c:pt>
                <c:pt idx="11">
                  <c:v>6540063647913.2842</c:v>
                </c:pt>
                <c:pt idx="12">
                  <c:v>1852203723125.2813</c:v>
                </c:pt>
                <c:pt idx="13">
                  <c:v>378092319305.97565</c:v>
                </c:pt>
                <c:pt idx="14">
                  <c:v>50124573680.046707</c:v>
                </c:pt>
                <c:pt idx="15">
                  <c:v>3701953895.366972</c:v>
                </c:pt>
                <c:pt idx="16">
                  <c:v>119214318.62892191</c:v>
                </c:pt>
                <c:pt idx="17">
                  <c:v>1075101.4644478408</c:v>
                </c:pt>
                <c:pt idx="18">
                  <c:v>1027.5524974519076</c:v>
                </c:pt>
                <c:pt idx="19">
                  <c:v>4.8415099472479631E-3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constants'!$X$5:$X$24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616120479356974.88</c:v>
                </c:pt>
                <c:pt idx="1">
                  <c:v>515622585121908.31</c:v>
                </c:pt>
                <c:pt idx="2">
                  <c:v>417188825317247.19</c:v>
                </c:pt>
                <c:pt idx="3">
                  <c:v>323900000314601.63</c:v>
                </c:pt>
                <c:pt idx="4">
                  <c:v>239051308702185.91</c:v>
                </c:pt>
                <c:pt idx="5">
                  <c:v>165749546039226.06</c:v>
                </c:pt>
                <c:pt idx="6">
                  <c:v>106373737872230</c:v>
                </c:pt>
                <c:pt idx="7">
                  <c:v>62008833046764.195</c:v>
                </c:pt>
                <c:pt idx="8">
                  <c:v>32055021493452.102</c:v>
                </c:pt>
                <c:pt idx="9">
                  <c:v>14250886779675.145</c:v>
                </c:pt>
                <c:pt idx="10">
                  <c:v>5237695504744.7969</c:v>
                </c:pt>
                <c:pt idx="11">
                  <c:v>1511825544308.6831</c:v>
                </c:pt>
                <c:pt idx="12">
                  <c:v>320294067472.75568</c:v>
                </c:pt>
                <c:pt idx="13">
                  <c:v>45467597136.529427</c:v>
                </c:pt>
                <c:pt idx="14">
                  <c:v>3808488837.6629953</c:v>
                </c:pt>
                <c:pt idx="15">
                  <c:v>156107832.15556893</c:v>
                </c:pt>
                <c:pt idx="16">
                  <c:v>2321882.260901378</c:v>
                </c:pt>
                <c:pt idx="17">
                  <c:v>7297.6125718280973</c:v>
                </c:pt>
                <c:pt idx="18">
                  <c:v>1.4787560950320811</c:v>
                </c:pt>
                <c:pt idx="19">
                  <c:v>4.5465181963706443E-7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constants'!$AA$5:$AA$24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454456493001817.31</c:v>
                </c:pt>
                <c:pt idx="1">
                  <c:v>366872315228645.56</c:v>
                </c:pt>
                <c:pt idx="2">
                  <c:v>284474405489048.25</c:v>
                </c:pt>
                <c:pt idx="3">
                  <c:v>209997851959956.84</c:v>
                </c:pt>
                <c:pt idx="4">
                  <c:v>145948764601726.78</c:v>
                </c:pt>
                <c:pt idx="5">
                  <c:v>94175119467242.469</c:v>
                </c:pt>
                <c:pt idx="6">
                  <c:v>55434146397634.117</c:v>
                </c:pt>
                <c:pt idx="7">
                  <c:v>29110202861818.41</c:v>
                </c:pt>
                <c:pt idx="8">
                  <c:v>13256540968088.816</c:v>
                </c:pt>
                <c:pt idx="9">
                  <c:v>5048873644794.7178</c:v>
                </c:pt>
                <c:pt idx="10">
                  <c:v>1534907788551.9954</c:v>
                </c:pt>
                <c:pt idx="11">
                  <c:v>350572102351.78918</c:v>
                </c:pt>
                <c:pt idx="12">
                  <c:v>55539713189.80024</c:v>
                </c:pt>
                <c:pt idx="13">
                  <c:v>5480861696.4577398</c:v>
                </c:pt>
                <c:pt idx="14">
                  <c:v>289972520.95320737</c:v>
                </c:pt>
                <c:pt idx="15">
                  <c:v>6594676.668420705</c:v>
                </c:pt>
                <c:pt idx="16">
                  <c:v>45291.434747779917</c:v>
                </c:pt>
                <c:pt idx="17">
                  <c:v>49.600302272757915</c:v>
                </c:pt>
                <c:pt idx="18">
                  <c:v>2.1305506308085349E-3</c:v>
                </c:pt>
                <c:pt idx="19">
                  <c:v>4.2740188108450692E-11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constants'!$AD$5:$AD$24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336863996378212.94</c:v>
                </c:pt>
                <c:pt idx="1">
                  <c:v>262255041202327.34</c:v>
                </c:pt>
                <c:pt idx="2">
                  <c:v>194834530457354</c:v>
                </c:pt>
                <c:pt idx="3">
                  <c:v>136714274623630.75</c:v>
                </c:pt>
                <c:pt idx="4">
                  <c:v>89450970268877.969</c:v>
                </c:pt>
                <c:pt idx="5">
                  <c:v>53699933676456.336</c:v>
                </c:pt>
                <c:pt idx="6">
                  <c:v>28983551144434.582</c:v>
                </c:pt>
                <c:pt idx="7">
                  <c:v>13707112008135.791</c:v>
                </c:pt>
                <c:pt idx="8">
                  <c:v>5497339414392.3145</c:v>
                </c:pt>
                <c:pt idx="9">
                  <c:v>1793151433863.5315</c:v>
                </c:pt>
                <c:pt idx="10">
                  <c:v>450795475230.34204</c:v>
                </c:pt>
                <c:pt idx="11">
                  <c:v>81451374300.672699</c:v>
                </c:pt>
                <c:pt idx="12">
                  <c:v>9647167017.1046314</c:v>
                </c:pt>
                <c:pt idx="13">
                  <c:v>661667819.71372795</c:v>
                </c:pt>
                <c:pt idx="14">
                  <c:v>22106302.808545429</c:v>
                </c:pt>
                <c:pt idx="15">
                  <c:v>278892.75561820797</c:v>
                </c:pt>
                <c:pt idx="16">
                  <c:v>884.29482153509616</c:v>
                </c:pt>
                <c:pt idx="17">
                  <c:v>0.33739242313418094</c:v>
                </c:pt>
                <c:pt idx="18">
                  <c:v>3.071787937873286E-6</c:v>
                </c:pt>
                <c:pt idx="19">
                  <c:v>4.0204147106784592E-15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/mm2/ mrad2/ s /0.1% LB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constants'!$J$5:$J$24</c:f>
              <c:numCache>
                <c:formatCode>0.000000E+00</c:formatCode>
                <c:ptCount val="20"/>
                <c:pt idx="0">
                  <c:v>4472315044920181.5</c:v>
                </c:pt>
                <c:pt idx="1">
                  <c:v>4424570807892213</c:v>
                </c:pt>
                <c:pt idx="2">
                  <c:v>4367332712626342.5</c:v>
                </c:pt>
                <c:pt idx="3">
                  <c:v>4298525836306347</c:v>
                </c:pt>
                <c:pt idx="4">
                  <c:v>4215632668808062.5</c:v>
                </c:pt>
                <c:pt idx="5">
                  <c:v>4115629943529267.5</c:v>
                </c:pt>
                <c:pt idx="6">
                  <c:v>3994943333704211</c:v>
                </c:pt>
                <c:pt idx="7">
                  <c:v>3849445207694963</c:v>
                </c:pt>
                <c:pt idx="8">
                  <c:v>3674536467697851.5</c:v>
                </c:pt>
                <c:pt idx="9">
                  <c:v>3465374284101748</c:v>
                </c:pt>
                <c:pt idx="10">
                  <c:v>3217330273504441.5</c:v>
                </c:pt>
                <c:pt idx="11">
                  <c:v>2926779040238976.5</c:v>
                </c:pt>
                <c:pt idx="12">
                  <c:v>2592305204646791.5</c:v>
                </c:pt>
                <c:pt idx="13">
                  <c:v>2216345687630132.5</c:v>
                </c:pt>
                <c:pt idx="14">
                  <c:v>1807115599907413.8</c:v>
                </c:pt>
                <c:pt idx="15">
                  <c:v>1380386111415517.5</c:v>
                </c:pt>
                <c:pt idx="16">
                  <c:v>960352692950449.25</c:v>
                </c:pt>
                <c:pt idx="17">
                  <c:v>578640046106492.25</c:v>
                </c:pt>
                <c:pt idx="18">
                  <c:v>270720270988293.22</c:v>
                </c:pt>
                <c:pt idx="19">
                  <c:v>69863549743461.445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constants'!$L$5:$L$24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2455667700942898</c:v>
                </c:pt>
                <c:pt idx="1">
                  <c:v>2359169991997539</c:v>
                </c:pt>
                <c:pt idx="2">
                  <c:v>2248119963388206</c:v>
                </c:pt>
                <c:pt idx="3">
                  <c:v>2120884428744536.8</c:v>
                </c:pt>
                <c:pt idx="4">
                  <c:v>1976049206015167.8</c:v>
                </c:pt>
                <c:pt idx="5">
                  <c:v>1812689582972204.5</c:v>
                </c:pt>
                <c:pt idx="6">
                  <c:v>1630754158472568.8</c:v>
                </c:pt>
                <c:pt idx="7">
                  <c:v>1431565261408037</c:v>
                </c:pt>
                <c:pt idx="8">
                  <c:v>1218398667486756.3</c:v>
                </c:pt>
                <c:pt idx="9">
                  <c:v>997030416257298.75</c:v>
                </c:pt>
                <c:pt idx="10">
                  <c:v>776028047155324</c:v>
                </c:pt>
                <c:pt idx="11">
                  <c:v>566447075105626.63</c:v>
                </c:pt>
                <c:pt idx="12">
                  <c:v>380559365341805.06</c:v>
                </c:pt>
                <c:pt idx="13">
                  <c:v>229441674124044.91</c:v>
                </c:pt>
                <c:pt idx="14">
                  <c:v>119827012118540.58</c:v>
                </c:pt>
                <c:pt idx="15">
                  <c:v>51463194813296.289</c:v>
                </c:pt>
                <c:pt idx="16">
                  <c:v>16732602326720.896</c:v>
                </c:pt>
                <c:pt idx="17">
                  <c:v>3549106804920.5151</c:v>
                </c:pt>
                <c:pt idx="18">
                  <c:v>354765199903.70459</c:v>
                </c:pt>
                <c:pt idx="19">
                  <c:v>6003320326.2104321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/mm2/ mrad2/ s /0.1% </a:t>
                </a:r>
                <a:r>
                  <a:rPr lang="pt-BR" sz="800"/>
                  <a:t>LB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4.png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9525</xdr:colOff>
      <xdr:row>1</xdr:row>
      <xdr:rowOff>19050</xdr:rowOff>
    </xdr:from>
    <xdr:to>
      <xdr:col>39</xdr:col>
      <xdr:colOff>95250</xdr:colOff>
      <xdr:row>37</xdr:row>
      <xdr:rowOff>106905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83225" y="3714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3028</xdr:colOff>
      <xdr:row>1</xdr:row>
      <xdr:rowOff>151447</xdr:rowOff>
    </xdr:from>
    <xdr:to>
      <xdr:col>19</xdr:col>
      <xdr:colOff>568473</xdr:colOff>
      <xdr:row>26</xdr:row>
      <xdr:rowOff>96203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574528</xdr:colOff>
      <xdr:row>1</xdr:row>
      <xdr:rowOff>151447</xdr:rowOff>
    </xdr:from>
    <xdr:to>
      <xdr:col>32</xdr:col>
      <xdr:colOff>311298</xdr:colOff>
      <xdr:row>26</xdr:row>
      <xdr:rowOff>96203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704850</xdr:colOff>
      <xdr:row>37</xdr:row>
      <xdr:rowOff>38100</xdr:rowOff>
    </xdr:from>
    <xdr:to>
      <xdr:col>6</xdr:col>
      <xdr:colOff>352094</xdr:colOff>
      <xdr:row>41</xdr:row>
      <xdr:rowOff>76114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9675" y="6934200"/>
          <a:ext cx="2647619" cy="6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2598</xdr:colOff>
      <xdr:row>1</xdr:row>
      <xdr:rowOff>2598</xdr:rowOff>
    </xdr:from>
    <xdr:to>
      <xdr:col>11</xdr:col>
      <xdr:colOff>199398</xdr:colOff>
      <xdr:row>24</xdr:row>
      <xdr:rowOff>132723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2598</xdr:colOff>
      <xdr:row>1</xdr:row>
      <xdr:rowOff>2598</xdr:rowOff>
    </xdr:from>
    <xdr:to>
      <xdr:col>19</xdr:col>
      <xdr:colOff>199398</xdr:colOff>
      <xdr:row>24</xdr:row>
      <xdr:rowOff>132723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24</xdr:row>
      <xdr:rowOff>140055</xdr:rowOff>
    </xdr:from>
    <xdr:to>
      <xdr:col>19</xdr:col>
      <xdr:colOff>200025</xdr:colOff>
      <xdr:row>38</xdr:row>
      <xdr:rowOff>66675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390526</xdr:colOff>
      <xdr:row>1</xdr:row>
      <xdr:rowOff>161926</xdr:rowOff>
    </xdr:from>
    <xdr:to>
      <xdr:col>18</xdr:col>
      <xdr:colOff>485776</xdr:colOff>
      <xdr:row>12</xdr:row>
      <xdr:rowOff>66675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104775</xdr:colOff>
      <xdr:row>17</xdr:row>
      <xdr:rowOff>13892</xdr:rowOff>
    </xdr:from>
    <xdr:to>
      <xdr:col>3</xdr:col>
      <xdr:colOff>1466851</xdr:colOff>
      <xdr:row>19</xdr:row>
      <xdr:rowOff>186050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67300" y="32142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E43" sqref="E43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7.75" x14ac:dyDescent="0.4">
      <c r="A1" s="57" t="s">
        <v>29</v>
      </c>
      <c r="B1" s="58"/>
      <c r="C1" s="58"/>
      <c r="D1" s="58"/>
      <c r="E1" s="58"/>
      <c r="F1" s="58"/>
      <c r="G1" s="58"/>
      <c r="H1" s="58"/>
      <c r="I1" s="59"/>
      <c r="J1" s="13"/>
      <c r="K1" s="57" t="s">
        <v>38</v>
      </c>
      <c r="L1" s="58"/>
      <c r="M1" s="58"/>
      <c r="N1" s="58"/>
      <c r="O1" s="58"/>
      <c r="P1" s="58"/>
      <c r="Q1" s="58"/>
      <c r="R1" s="58"/>
      <c r="S1" s="59"/>
      <c r="T1" s="13"/>
    </row>
    <row r="2" spans="1:20" x14ac:dyDescent="0.2">
      <c r="A2" s="14"/>
      <c r="B2" s="15"/>
      <c r="C2" s="15"/>
      <c r="D2" s="15"/>
      <c r="E2" s="15"/>
      <c r="F2" s="15"/>
      <c r="G2" s="15"/>
      <c r="H2" s="15"/>
      <c r="I2" s="16"/>
      <c r="K2" s="14"/>
      <c r="L2" s="15"/>
      <c r="M2" s="15"/>
      <c r="N2" s="15"/>
      <c r="O2" s="15"/>
      <c r="P2" s="15"/>
      <c r="Q2" s="15"/>
      <c r="R2" s="15"/>
      <c r="S2" s="16"/>
    </row>
    <row r="3" spans="1:20" ht="15.75" x14ac:dyDescent="0.25">
      <c r="A3" s="14"/>
      <c r="B3" s="15"/>
      <c r="C3" s="15"/>
      <c r="D3" s="11" t="s">
        <v>30</v>
      </c>
      <c r="E3" s="53">
        <v>2.4</v>
      </c>
      <c r="F3" s="53"/>
      <c r="G3" s="15"/>
      <c r="H3" s="15"/>
      <c r="I3" s="16"/>
      <c r="K3" s="14"/>
      <c r="L3" s="15"/>
      <c r="M3" s="15"/>
      <c r="N3" s="11" t="s">
        <v>30</v>
      </c>
      <c r="O3" s="53">
        <v>2.4</v>
      </c>
      <c r="P3" s="53"/>
      <c r="Q3" s="15"/>
      <c r="R3" s="15"/>
      <c r="S3" s="16"/>
    </row>
    <row r="4" spans="1:20" ht="15.75" x14ac:dyDescent="0.25">
      <c r="A4" s="14"/>
      <c r="B4" s="15"/>
      <c r="C4" s="15"/>
      <c r="D4" s="12" t="s">
        <v>31</v>
      </c>
      <c r="E4" s="54">
        <f xml:space="preserve"> ROUNDUP((-0.1034*(E3/2)^3 + 0.7783*(E3/2)^2 + 0.109*(E3/2) + 3.1763)*2,2)</f>
        <v>8.5</v>
      </c>
      <c r="F4" s="54"/>
      <c r="G4" s="15"/>
      <c r="H4" s="15"/>
      <c r="I4" s="16"/>
      <c r="K4" s="14"/>
      <c r="L4" s="15"/>
      <c r="M4" s="15"/>
      <c r="N4" s="12" t="s">
        <v>31</v>
      </c>
      <c r="O4" s="54">
        <f xml:space="preserve"> ROUNDUP((-0.00008*(O3/2)^3 + 0.0184*(O3/2)^2 - 0.00008*(O3/2) + 11.542)*2,2)</f>
        <v>23.14</v>
      </c>
      <c r="P4" s="54"/>
      <c r="Q4" s="15"/>
      <c r="R4" s="15"/>
      <c r="S4" s="16"/>
    </row>
    <row r="5" spans="1:20" ht="15.75" x14ac:dyDescent="0.25">
      <c r="A5" s="14"/>
      <c r="B5" s="15"/>
      <c r="C5" s="15"/>
      <c r="D5" s="12" t="s">
        <v>32</v>
      </c>
      <c r="E5" s="55">
        <f>ROUNDUP((-0.045*(E3/2)^3 + 0.3642*(E3/2)^2 + 0.0265*(E3/2) + 1.9042)*2,2)</f>
        <v>4.7699999999999996</v>
      </c>
      <c r="F5" s="56"/>
      <c r="G5" s="15"/>
      <c r="H5" s="15"/>
      <c r="I5" s="16"/>
      <c r="K5" s="14"/>
      <c r="L5" s="15"/>
      <c r="M5" s="15"/>
      <c r="N5" s="12" t="s">
        <v>32</v>
      </c>
      <c r="O5" s="55">
        <f>ROUNDUP((-0.008*(O3/2)^3 + 0.1233*(O3/2)^2 - 0.0051*(O3/2) + 2.8442)*2,2)</f>
        <v>6.01</v>
      </c>
      <c r="P5" s="56"/>
      <c r="Q5" s="15"/>
      <c r="R5" s="15"/>
      <c r="S5" s="16"/>
    </row>
    <row r="6" spans="1:20" x14ac:dyDescent="0.2">
      <c r="A6" s="14"/>
      <c r="B6" s="15"/>
      <c r="C6" s="15"/>
      <c r="D6" s="17"/>
      <c r="E6" s="15"/>
      <c r="F6" s="15"/>
      <c r="G6" s="15"/>
      <c r="H6" s="15"/>
      <c r="I6" s="16"/>
      <c r="K6" s="14"/>
      <c r="L6" s="15"/>
      <c r="M6" s="15"/>
      <c r="N6" s="17"/>
      <c r="O6" s="15"/>
      <c r="P6" s="15"/>
      <c r="Q6" s="15"/>
      <c r="R6" s="15"/>
      <c r="S6" s="16"/>
    </row>
    <row r="7" spans="1:20" x14ac:dyDescent="0.2">
      <c r="A7" s="18" t="s">
        <v>26</v>
      </c>
      <c r="B7" s="9" t="s">
        <v>27</v>
      </c>
      <c r="C7" s="9" t="s">
        <v>28</v>
      </c>
      <c r="D7" s="15"/>
      <c r="E7" s="15"/>
      <c r="F7" s="15"/>
      <c r="G7" s="15"/>
      <c r="H7" s="15"/>
      <c r="I7" s="16"/>
      <c r="K7" s="18" t="s">
        <v>26</v>
      </c>
      <c r="L7" s="9" t="s">
        <v>27</v>
      </c>
      <c r="M7" s="9" t="s">
        <v>28</v>
      </c>
      <c r="N7" s="15"/>
      <c r="O7" s="15"/>
      <c r="P7" s="15"/>
      <c r="Q7" s="15"/>
      <c r="R7" s="15"/>
      <c r="S7" s="16"/>
    </row>
    <row r="8" spans="1:20" x14ac:dyDescent="0.2">
      <c r="A8" s="19">
        <v>0</v>
      </c>
      <c r="B8" s="10">
        <v>3.1895799999999999</v>
      </c>
      <c r="C8" s="10">
        <v>1.9079600000000001</v>
      </c>
      <c r="D8" s="15"/>
      <c r="E8" s="15"/>
      <c r="F8" s="15"/>
      <c r="G8" s="15"/>
      <c r="H8" s="15"/>
      <c r="I8" s="16"/>
      <c r="K8" s="23">
        <v>0</v>
      </c>
      <c r="L8" s="8">
        <v>11.54238</v>
      </c>
      <c r="M8" s="8">
        <v>2.8438699999999999</v>
      </c>
      <c r="N8" s="15"/>
      <c r="O8" s="15"/>
      <c r="P8" s="15"/>
      <c r="Q8" s="15"/>
      <c r="R8" s="15"/>
      <c r="S8" s="16"/>
    </row>
    <row r="9" spans="1:20" x14ac:dyDescent="0.2">
      <c r="A9" s="19">
        <v>0</v>
      </c>
      <c r="B9" s="10">
        <v>3.1895799999999999</v>
      </c>
      <c r="C9" s="10">
        <v>1.9079600000000001</v>
      </c>
      <c r="D9" s="15"/>
      <c r="E9" s="15"/>
      <c r="F9" s="15"/>
      <c r="G9" s="15"/>
      <c r="H9" s="15"/>
      <c r="I9" s="16"/>
      <c r="K9" s="23">
        <v>0</v>
      </c>
      <c r="L9" s="8">
        <v>11.54238</v>
      </c>
      <c r="M9" s="8">
        <v>2.8438699999999999</v>
      </c>
      <c r="N9" s="15"/>
      <c r="O9" s="15"/>
      <c r="P9" s="15"/>
      <c r="Q9" s="15"/>
      <c r="R9" s="15"/>
      <c r="S9" s="16"/>
    </row>
    <row r="10" spans="1:20" x14ac:dyDescent="0.2">
      <c r="A10" s="19">
        <v>0.1</v>
      </c>
      <c r="B10" s="10">
        <v>3.1982200000000001</v>
      </c>
      <c r="C10" s="10">
        <v>1.91168</v>
      </c>
      <c r="D10" s="15"/>
      <c r="E10" s="15"/>
      <c r="F10" s="15"/>
      <c r="G10" s="15"/>
      <c r="H10" s="15"/>
      <c r="I10" s="16"/>
      <c r="K10" s="23">
        <v>0</v>
      </c>
      <c r="L10" s="8">
        <v>11.54238</v>
      </c>
      <c r="M10" s="8">
        <v>2.8438699999999999</v>
      </c>
      <c r="N10" s="15"/>
      <c r="O10" s="15"/>
      <c r="P10" s="15"/>
      <c r="Q10" s="15"/>
      <c r="R10" s="15"/>
      <c r="S10" s="16"/>
    </row>
    <row r="11" spans="1:20" x14ac:dyDescent="0.2">
      <c r="A11" s="19">
        <v>0.2</v>
      </c>
      <c r="B11" s="10">
        <v>3.2240099999999998</v>
      </c>
      <c r="C11" s="10">
        <v>1.9228099999999999</v>
      </c>
      <c r="D11" s="15"/>
      <c r="E11" s="15"/>
      <c r="F11" s="15"/>
      <c r="G11" s="15"/>
      <c r="H11" s="15"/>
      <c r="I11" s="16"/>
      <c r="K11" s="23">
        <v>9.5750000000000002E-2</v>
      </c>
      <c r="L11" s="8">
        <v>11.54255</v>
      </c>
      <c r="M11" s="8">
        <v>2.8449</v>
      </c>
      <c r="N11" s="15"/>
      <c r="O11" s="15"/>
      <c r="P11" s="15"/>
      <c r="Q11" s="15"/>
      <c r="R11" s="15"/>
      <c r="S11" s="16"/>
    </row>
    <row r="12" spans="1:20" x14ac:dyDescent="0.2">
      <c r="A12" s="19">
        <v>0.3</v>
      </c>
      <c r="B12" s="10">
        <v>3.26654</v>
      </c>
      <c r="C12" s="10">
        <v>1.9412100000000001</v>
      </c>
      <c r="D12" s="15"/>
      <c r="E12" s="15"/>
      <c r="F12" s="15"/>
      <c r="G12" s="15"/>
      <c r="H12" s="15"/>
      <c r="I12" s="16"/>
      <c r="K12" s="23">
        <v>0.1915</v>
      </c>
      <c r="L12" s="8">
        <v>11.543049999999999</v>
      </c>
      <c r="M12" s="8">
        <v>2.8479899999999998</v>
      </c>
      <c r="N12" s="15"/>
      <c r="O12" s="15"/>
      <c r="P12" s="15"/>
      <c r="Q12" s="15"/>
      <c r="R12" s="15"/>
      <c r="S12" s="16"/>
    </row>
    <row r="13" spans="1:20" x14ac:dyDescent="0.2">
      <c r="A13" s="19">
        <v>0.4</v>
      </c>
      <c r="B13" s="10">
        <v>3.32517</v>
      </c>
      <c r="C13" s="10">
        <v>1.96669</v>
      </c>
      <c r="D13" s="15"/>
      <c r="E13" s="15"/>
      <c r="F13" s="15"/>
      <c r="G13" s="15"/>
      <c r="H13" s="15"/>
      <c r="I13" s="16"/>
      <c r="K13" s="23">
        <v>0.28725000000000001</v>
      </c>
      <c r="L13" s="8">
        <v>11.543889999999999</v>
      </c>
      <c r="M13" s="8">
        <v>2.8531399999999998</v>
      </c>
      <c r="N13" s="15"/>
      <c r="O13" s="15"/>
      <c r="P13" s="15"/>
      <c r="Q13" s="15"/>
      <c r="R13" s="15"/>
      <c r="S13" s="16"/>
    </row>
    <row r="14" spans="1:20" x14ac:dyDescent="0.2">
      <c r="A14" s="19">
        <v>0.5</v>
      </c>
      <c r="B14" s="10">
        <v>3.39906</v>
      </c>
      <c r="C14" s="10">
        <v>1.9989600000000001</v>
      </c>
      <c r="D14" s="15"/>
      <c r="E14" s="15"/>
      <c r="F14" s="15"/>
      <c r="G14" s="15"/>
      <c r="H14" s="15"/>
      <c r="I14" s="16"/>
      <c r="K14" s="23">
        <v>0.38300000000000001</v>
      </c>
      <c r="L14" s="8">
        <v>11.545059999999999</v>
      </c>
      <c r="M14" s="8">
        <v>2.8603299999999998</v>
      </c>
      <c r="N14" s="15"/>
      <c r="O14" s="15"/>
      <c r="P14" s="15"/>
      <c r="Q14" s="15"/>
      <c r="R14" s="15"/>
      <c r="S14" s="16"/>
    </row>
    <row r="15" spans="1:20" x14ac:dyDescent="0.2">
      <c r="A15" s="19">
        <v>0.6</v>
      </c>
      <c r="B15" s="10">
        <v>3.48725</v>
      </c>
      <c r="C15" s="10">
        <v>2.0377200000000002</v>
      </c>
      <c r="D15" s="15"/>
      <c r="E15" s="15"/>
      <c r="F15" s="15"/>
      <c r="G15" s="15"/>
      <c r="H15" s="15"/>
      <c r="I15" s="16"/>
      <c r="K15" s="23">
        <v>0.47875000000000001</v>
      </c>
      <c r="L15" s="8">
        <v>11.546569999999999</v>
      </c>
      <c r="M15" s="8">
        <v>2.8695499999999998</v>
      </c>
      <c r="N15" s="15"/>
      <c r="O15" s="15"/>
      <c r="P15" s="15"/>
      <c r="Q15" s="15"/>
      <c r="R15" s="15"/>
      <c r="S15" s="16"/>
    </row>
    <row r="16" spans="1:20" x14ac:dyDescent="0.2">
      <c r="A16" s="19">
        <v>0.7</v>
      </c>
      <c r="B16" s="10">
        <v>3.5886800000000001</v>
      </c>
      <c r="C16" s="10">
        <v>2.0825900000000002</v>
      </c>
      <c r="D16" s="15"/>
      <c r="E16" s="15"/>
      <c r="F16" s="15"/>
      <c r="G16" s="15"/>
      <c r="H16" s="15"/>
      <c r="I16" s="16"/>
      <c r="K16" s="23">
        <v>0.57450000000000001</v>
      </c>
      <c r="L16" s="8">
        <v>11.548410000000001</v>
      </c>
      <c r="M16" s="8">
        <v>2.8807800000000001</v>
      </c>
      <c r="N16" s="15"/>
      <c r="O16" s="15"/>
      <c r="P16" s="15"/>
      <c r="Q16" s="15"/>
      <c r="R16" s="15"/>
      <c r="S16" s="16"/>
    </row>
    <row r="17" spans="1:19" x14ac:dyDescent="0.2">
      <c r="A17" s="19">
        <v>0.8</v>
      </c>
      <c r="B17" s="10">
        <v>3.7022699999999999</v>
      </c>
      <c r="C17" s="10">
        <v>2.1331899999999999</v>
      </c>
      <c r="D17" s="15"/>
      <c r="E17" s="15"/>
      <c r="F17" s="15"/>
      <c r="G17" s="15"/>
      <c r="H17" s="15"/>
      <c r="I17" s="16"/>
      <c r="K17" s="23">
        <v>0.67025000000000001</v>
      </c>
      <c r="L17" s="8">
        <v>11.55059</v>
      </c>
      <c r="M17" s="8">
        <v>2.8939900000000001</v>
      </c>
      <c r="N17" s="15"/>
      <c r="O17" s="15"/>
      <c r="P17" s="15"/>
      <c r="Q17" s="15"/>
      <c r="R17" s="15"/>
      <c r="S17" s="16"/>
    </row>
    <row r="18" spans="1:19" x14ac:dyDescent="0.2">
      <c r="A18" s="19">
        <v>0.9</v>
      </c>
      <c r="B18" s="10">
        <v>3.8269199999999999</v>
      </c>
      <c r="C18" s="10">
        <v>2.18913</v>
      </c>
      <c r="D18" s="15"/>
      <c r="E18" s="15"/>
      <c r="F18" s="15"/>
      <c r="G18" s="15"/>
      <c r="H18" s="15"/>
      <c r="I18" s="16"/>
      <c r="K18" s="23">
        <v>0.76600000000000001</v>
      </c>
      <c r="L18" s="8">
        <v>11.553089999999999</v>
      </c>
      <c r="M18" s="8">
        <v>2.90916</v>
      </c>
      <c r="N18" s="15"/>
      <c r="O18" s="15"/>
      <c r="P18" s="15"/>
      <c r="Q18" s="15"/>
      <c r="R18" s="15"/>
      <c r="S18" s="16"/>
    </row>
    <row r="19" spans="1:19" x14ac:dyDescent="0.2">
      <c r="A19" s="19">
        <v>1</v>
      </c>
      <c r="B19" s="10">
        <v>3.9615999999999998</v>
      </c>
      <c r="C19" s="10">
        <v>2.25</v>
      </c>
      <c r="D19" s="15"/>
      <c r="E19" s="15"/>
      <c r="F19" s="15"/>
      <c r="G19" s="15"/>
      <c r="H19" s="15"/>
      <c r="I19" s="16"/>
      <c r="K19" s="23">
        <v>0.86175000000000002</v>
      </c>
      <c r="L19" s="8">
        <v>11.55594</v>
      </c>
      <c r="M19" s="8">
        <v>2.92625</v>
      </c>
      <c r="N19" s="15"/>
      <c r="O19" s="15"/>
      <c r="P19" s="15"/>
      <c r="Q19" s="15"/>
      <c r="R19" s="15"/>
      <c r="S19" s="16"/>
    </row>
    <row r="20" spans="1:19" x14ac:dyDescent="0.2">
      <c r="A20" s="19">
        <v>1</v>
      </c>
      <c r="B20" s="10">
        <v>3.9615999999999998</v>
      </c>
      <c r="C20" s="10">
        <v>2.25</v>
      </c>
      <c r="D20" s="15"/>
      <c r="E20" s="15"/>
      <c r="F20" s="15"/>
      <c r="G20" s="15"/>
      <c r="H20" s="15"/>
      <c r="I20" s="16"/>
      <c r="K20" s="23">
        <v>0.95750000000000002</v>
      </c>
      <c r="L20" s="8">
        <v>11.55912</v>
      </c>
      <c r="M20" s="8">
        <v>2.9452500000000001</v>
      </c>
      <c r="N20" s="15"/>
      <c r="O20" s="15"/>
      <c r="P20" s="15"/>
      <c r="Q20" s="15"/>
      <c r="R20" s="15"/>
      <c r="S20" s="16"/>
    </row>
    <row r="21" spans="1:19" x14ac:dyDescent="0.2">
      <c r="A21" s="19">
        <v>1.1000000000000001</v>
      </c>
      <c r="B21" s="10">
        <v>4.1053199999999999</v>
      </c>
      <c r="C21" s="10">
        <v>2.31542</v>
      </c>
      <c r="D21" s="15"/>
      <c r="E21" s="15"/>
      <c r="F21" s="15"/>
      <c r="G21" s="15"/>
      <c r="H21" s="15"/>
      <c r="I21" s="16"/>
      <c r="K21" s="23">
        <v>1.05325</v>
      </c>
      <c r="L21" s="8">
        <v>11.56263</v>
      </c>
      <c r="M21" s="8">
        <v>2.9661</v>
      </c>
      <c r="N21" s="15"/>
      <c r="O21" s="15"/>
      <c r="P21" s="15"/>
      <c r="Q21" s="15"/>
      <c r="R21" s="15"/>
      <c r="S21" s="16"/>
    </row>
    <row r="22" spans="1:19" x14ac:dyDescent="0.2">
      <c r="A22" s="19">
        <v>1.2</v>
      </c>
      <c r="B22" s="10">
        <v>4.2571700000000003</v>
      </c>
      <c r="C22" s="10">
        <v>2.3850099999999999</v>
      </c>
      <c r="D22" s="15"/>
      <c r="E22" s="15"/>
      <c r="F22" s="15"/>
      <c r="G22" s="15"/>
      <c r="H22" s="15"/>
      <c r="I22" s="16"/>
      <c r="K22" s="23">
        <v>1.149</v>
      </c>
      <c r="L22" s="8">
        <v>11.566470000000001</v>
      </c>
      <c r="M22" s="8">
        <v>2.9887600000000001</v>
      </c>
      <c r="N22" s="15"/>
      <c r="O22" s="15"/>
      <c r="P22" s="15"/>
      <c r="Q22" s="15"/>
      <c r="R22" s="15"/>
      <c r="S22" s="16"/>
    </row>
    <row r="23" spans="1:19" x14ac:dyDescent="0.2">
      <c r="A23" s="19">
        <v>1.3</v>
      </c>
      <c r="B23" s="10">
        <v>4.4162999999999997</v>
      </c>
      <c r="C23" s="10">
        <v>2.4584199999999998</v>
      </c>
      <c r="D23" s="15"/>
      <c r="E23" s="15"/>
      <c r="F23" s="15"/>
      <c r="G23" s="15"/>
      <c r="H23" s="15"/>
      <c r="I23" s="16"/>
      <c r="K23" s="23">
        <v>1.24475</v>
      </c>
      <c r="L23" s="8">
        <v>11.570650000000001</v>
      </c>
      <c r="M23" s="8">
        <v>3.0132099999999999</v>
      </c>
      <c r="N23" s="15"/>
      <c r="O23" s="15"/>
      <c r="P23" s="15"/>
      <c r="Q23" s="15"/>
      <c r="R23" s="15"/>
      <c r="S23" s="16"/>
    </row>
    <row r="24" spans="1:19" x14ac:dyDescent="0.2">
      <c r="A24" s="19">
        <v>1.4</v>
      </c>
      <c r="B24" s="10">
        <v>4.5819599999999996</v>
      </c>
      <c r="C24" s="10">
        <v>2.53531</v>
      </c>
      <c r="D24" s="15"/>
      <c r="E24" s="15"/>
      <c r="F24" s="15"/>
      <c r="G24" s="15"/>
      <c r="H24" s="15"/>
      <c r="I24" s="16"/>
      <c r="K24" s="23">
        <v>1.3405</v>
      </c>
      <c r="L24" s="8">
        <v>11.575150000000001</v>
      </c>
      <c r="M24" s="8">
        <v>3.03939</v>
      </c>
      <c r="N24" s="15"/>
      <c r="O24" s="15"/>
      <c r="P24" s="15"/>
      <c r="Q24" s="15"/>
      <c r="R24" s="15"/>
      <c r="S24" s="16"/>
    </row>
    <row r="25" spans="1:19" x14ac:dyDescent="0.2">
      <c r="A25" s="19">
        <v>1.5</v>
      </c>
      <c r="B25" s="10">
        <v>4.7534599999999996</v>
      </c>
      <c r="C25" s="10">
        <v>2.6153900000000001</v>
      </c>
      <c r="D25" s="15"/>
      <c r="E25" s="15"/>
      <c r="F25" s="15"/>
      <c r="G25" s="15"/>
      <c r="H25" s="15"/>
      <c r="I25" s="16"/>
      <c r="K25" s="23">
        <v>1.43625</v>
      </c>
      <c r="L25" s="8">
        <v>11.57999</v>
      </c>
      <c r="M25" s="8">
        <v>3.0672600000000001</v>
      </c>
      <c r="N25" s="15"/>
      <c r="O25" s="15"/>
      <c r="P25" s="15"/>
      <c r="Q25" s="15"/>
      <c r="R25" s="15"/>
      <c r="S25" s="16"/>
    </row>
    <row r="26" spans="1:19" x14ac:dyDescent="0.2">
      <c r="A26" s="19">
        <v>1.5989</v>
      </c>
      <c r="B26" s="10">
        <v>4.9282300000000001</v>
      </c>
      <c r="C26" s="10">
        <v>2.6974300000000002</v>
      </c>
      <c r="D26" s="15"/>
      <c r="E26" s="15"/>
      <c r="F26" s="15"/>
      <c r="G26" s="15"/>
      <c r="H26" s="15"/>
      <c r="I26" s="16"/>
      <c r="K26" s="23">
        <v>1.532</v>
      </c>
      <c r="L26" s="8">
        <v>11.58517</v>
      </c>
      <c r="M26" s="8">
        <v>3.0967799999999999</v>
      </c>
      <c r="N26" s="15"/>
      <c r="O26" s="15"/>
      <c r="P26" s="15"/>
      <c r="Q26" s="15"/>
      <c r="R26" s="15"/>
      <c r="S26" s="16"/>
    </row>
    <row r="27" spans="1:19" x14ac:dyDescent="0.2">
      <c r="A27" s="19">
        <v>1.6978</v>
      </c>
      <c r="B27" s="10">
        <v>5.1075900000000001</v>
      </c>
      <c r="C27" s="10">
        <v>2.7820499999999999</v>
      </c>
      <c r="D27" s="15"/>
      <c r="E27" s="15"/>
      <c r="F27" s="15"/>
      <c r="G27" s="15"/>
      <c r="H27" s="15"/>
      <c r="I27" s="16"/>
      <c r="K27" s="23">
        <v>1.62775</v>
      </c>
      <c r="L27" s="8">
        <v>11.590669999999999</v>
      </c>
      <c r="M27" s="8">
        <v>3.1278899999999998</v>
      </c>
      <c r="N27" s="15"/>
      <c r="O27" s="15"/>
      <c r="P27" s="15"/>
      <c r="Q27" s="15"/>
      <c r="R27" s="15"/>
      <c r="S27" s="16"/>
    </row>
    <row r="28" spans="1:19" x14ac:dyDescent="0.2">
      <c r="A28" s="19">
        <v>1.7967</v>
      </c>
      <c r="B28" s="10">
        <v>5.29108</v>
      </c>
      <c r="C28" s="10">
        <v>2.86903</v>
      </c>
      <c r="D28" s="15"/>
      <c r="E28" s="15"/>
      <c r="F28" s="15"/>
      <c r="G28" s="15"/>
      <c r="H28" s="15"/>
      <c r="I28" s="16"/>
      <c r="K28" s="23">
        <v>1.7235</v>
      </c>
      <c r="L28" s="8">
        <v>11.596500000000001</v>
      </c>
      <c r="M28" s="8">
        <v>3.1605500000000002</v>
      </c>
      <c r="N28" s="15"/>
      <c r="O28" s="15"/>
      <c r="P28" s="15"/>
      <c r="Q28" s="15"/>
      <c r="R28" s="15"/>
      <c r="S28" s="16"/>
    </row>
    <row r="29" spans="1:19" x14ac:dyDescent="0.2">
      <c r="A29" s="19">
        <v>1.8956</v>
      </c>
      <c r="B29" s="10">
        <v>5.4782799999999998</v>
      </c>
      <c r="C29" s="10">
        <v>2.9581499999999998</v>
      </c>
      <c r="D29" s="15"/>
      <c r="E29" s="15"/>
      <c r="F29" s="15"/>
      <c r="G29" s="15"/>
      <c r="H29" s="15"/>
      <c r="I29" s="16"/>
      <c r="K29" s="23">
        <v>1.81925</v>
      </c>
      <c r="L29" s="8">
        <v>11.60267</v>
      </c>
      <c r="M29" s="8">
        <v>3.1947199999999998</v>
      </c>
      <c r="N29" s="15"/>
      <c r="O29" s="15"/>
      <c r="P29" s="15"/>
      <c r="Q29" s="15"/>
      <c r="R29" s="15"/>
      <c r="S29" s="16"/>
    </row>
    <row r="30" spans="1:19" x14ac:dyDescent="0.2">
      <c r="A30" s="19">
        <v>1.9944999999999999</v>
      </c>
      <c r="B30" s="10">
        <v>5.6688299999999998</v>
      </c>
      <c r="C30" s="10">
        <v>3.0492400000000002</v>
      </c>
      <c r="D30" s="15"/>
      <c r="E30" s="15"/>
      <c r="F30" s="15"/>
      <c r="G30" s="15"/>
      <c r="H30" s="15"/>
      <c r="I30" s="16"/>
      <c r="K30" s="23">
        <v>1.915</v>
      </c>
      <c r="L30" s="8">
        <v>11.609159999999999</v>
      </c>
      <c r="M30" s="8">
        <v>3.2303500000000001</v>
      </c>
      <c r="N30" s="15"/>
      <c r="O30" s="15"/>
      <c r="P30" s="15"/>
      <c r="Q30" s="15"/>
      <c r="R30" s="15"/>
      <c r="S30" s="16"/>
    </row>
    <row r="31" spans="1:19" x14ac:dyDescent="0.2">
      <c r="A31" s="19">
        <v>2.0933999999999999</v>
      </c>
      <c r="B31" s="10">
        <v>5.8624000000000001</v>
      </c>
      <c r="C31" s="10">
        <v>3.1421100000000002</v>
      </c>
      <c r="D31" s="15"/>
      <c r="E31" s="15"/>
      <c r="F31" s="15"/>
      <c r="G31" s="15"/>
      <c r="H31" s="15"/>
      <c r="I31" s="16"/>
      <c r="K31" s="23">
        <v>2.0150000000000001</v>
      </c>
      <c r="L31" s="8">
        <v>11.616300000000001</v>
      </c>
      <c r="M31" s="8">
        <v>3.26905</v>
      </c>
      <c r="N31" s="15"/>
      <c r="O31" s="15"/>
      <c r="P31" s="15"/>
      <c r="Q31" s="15"/>
      <c r="R31" s="15"/>
      <c r="S31" s="16"/>
    </row>
    <row r="32" spans="1:19" x14ac:dyDescent="0.2">
      <c r="A32" s="19">
        <v>2.1922999999999999</v>
      </c>
      <c r="B32" s="10">
        <v>6.0586900000000004</v>
      </c>
      <c r="C32" s="10">
        <v>3.2366100000000002</v>
      </c>
      <c r="D32" s="15"/>
      <c r="E32" s="15"/>
      <c r="F32" s="15"/>
      <c r="G32" s="15"/>
      <c r="H32" s="15"/>
      <c r="I32" s="16"/>
      <c r="K32" s="23">
        <v>2.1150000000000002</v>
      </c>
      <c r="L32" s="8">
        <v>11.62379</v>
      </c>
      <c r="M32" s="8">
        <v>3.30924</v>
      </c>
      <c r="N32" s="15"/>
      <c r="O32" s="15"/>
      <c r="P32" s="15"/>
      <c r="Q32" s="15"/>
      <c r="R32" s="15"/>
      <c r="S32" s="16"/>
    </row>
    <row r="33" spans="1:19" x14ac:dyDescent="0.2">
      <c r="A33" s="19">
        <v>2.2911999999999999</v>
      </c>
      <c r="B33" s="10">
        <v>6.25746</v>
      </c>
      <c r="C33" s="10">
        <v>3.3326099999999999</v>
      </c>
      <c r="D33" s="15"/>
      <c r="E33" s="15"/>
      <c r="F33" s="15"/>
      <c r="G33" s="15"/>
      <c r="H33" s="15"/>
      <c r="I33" s="16"/>
      <c r="K33" s="23">
        <v>2.2149999999999999</v>
      </c>
      <c r="L33" s="8">
        <v>11.631640000000001</v>
      </c>
      <c r="M33" s="8">
        <v>3.3508599999999999</v>
      </c>
      <c r="N33" s="15"/>
      <c r="O33" s="15"/>
      <c r="P33" s="15"/>
      <c r="Q33" s="15"/>
      <c r="R33" s="15"/>
      <c r="S33" s="16"/>
    </row>
    <row r="34" spans="1:19" x14ac:dyDescent="0.2">
      <c r="A34" s="19">
        <v>2.3900999999999999</v>
      </c>
      <c r="B34" s="10">
        <v>6.4584700000000002</v>
      </c>
      <c r="C34" s="10">
        <v>3.42997</v>
      </c>
      <c r="D34" s="15"/>
      <c r="E34" s="15"/>
      <c r="F34" s="15"/>
      <c r="G34" s="15"/>
      <c r="H34" s="15"/>
      <c r="I34" s="16"/>
      <c r="K34" s="23">
        <v>2.3149999999999999</v>
      </c>
      <c r="L34" s="8">
        <v>11.639849999999999</v>
      </c>
      <c r="M34" s="8">
        <v>3.3938600000000001</v>
      </c>
      <c r="N34" s="15"/>
      <c r="O34" s="15"/>
      <c r="P34" s="15"/>
      <c r="Q34" s="15"/>
      <c r="R34" s="15"/>
      <c r="S34" s="16"/>
    </row>
    <row r="35" spans="1:19" x14ac:dyDescent="0.2">
      <c r="A35" s="19">
        <v>2.4889999999999999</v>
      </c>
      <c r="B35" s="10">
        <v>6.66153</v>
      </c>
      <c r="C35" s="10">
        <v>3.5285899999999999</v>
      </c>
      <c r="D35" s="15"/>
      <c r="E35" s="15"/>
      <c r="F35" s="15"/>
      <c r="G35" s="15"/>
      <c r="H35" s="15"/>
      <c r="I35" s="16"/>
      <c r="K35" s="23">
        <v>2.375</v>
      </c>
      <c r="L35" s="8">
        <v>11.64494</v>
      </c>
      <c r="M35" s="8">
        <v>3.4202900000000001</v>
      </c>
      <c r="N35" s="15"/>
      <c r="O35" s="15"/>
      <c r="P35" s="15"/>
      <c r="Q35" s="15"/>
      <c r="R35" s="15"/>
      <c r="S35" s="16"/>
    </row>
    <row r="36" spans="1:19" x14ac:dyDescent="0.2">
      <c r="A36" s="19">
        <v>2.5878999999999999</v>
      </c>
      <c r="B36" s="10">
        <v>6.8664399999999999</v>
      </c>
      <c r="C36" s="10">
        <v>3.6283699999999999</v>
      </c>
      <c r="D36" s="15"/>
      <c r="E36" s="15"/>
      <c r="F36" s="15"/>
      <c r="G36" s="15"/>
      <c r="H36" s="15"/>
      <c r="I36" s="16"/>
      <c r="K36" s="23">
        <v>2.375</v>
      </c>
      <c r="L36" s="8">
        <v>11.64494</v>
      </c>
      <c r="M36" s="8">
        <v>3.4202900000000001</v>
      </c>
      <c r="N36" s="15"/>
      <c r="O36" s="15"/>
      <c r="P36" s="15"/>
      <c r="Q36" s="15"/>
      <c r="R36" s="15"/>
      <c r="S36" s="16"/>
    </row>
    <row r="37" spans="1:19" x14ac:dyDescent="0.2">
      <c r="A37" s="19">
        <v>2.6879</v>
      </c>
      <c r="B37" s="10">
        <v>7.0753599999999999</v>
      </c>
      <c r="C37" s="10">
        <v>3.7303299999999999</v>
      </c>
      <c r="D37" s="15"/>
      <c r="E37" s="15"/>
      <c r="F37" s="15"/>
      <c r="G37" s="15"/>
      <c r="H37" s="15"/>
      <c r="I37" s="16"/>
      <c r="K37" s="23">
        <v>2.4750000000000001</v>
      </c>
      <c r="L37" s="8">
        <v>11.65372</v>
      </c>
      <c r="M37" s="8">
        <v>3.4653800000000001</v>
      </c>
      <c r="N37" s="15"/>
      <c r="O37" s="15"/>
      <c r="P37" s="15"/>
      <c r="Q37" s="15"/>
      <c r="R37" s="15"/>
      <c r="S37" s="16"/>
    </row>
    <row r="38" spans="1:19" x14ac:dyDescent="0.2">
      <c r="A38" s="19">
        <v>2.7879</v>
      </c>
      <c r="B38" s="10">
        <v>7.2858700000000001</v>
      </c>
      <c r="C38" s="10">
        <v>3.8332999999999999</v>
      </c>
      <c r="D38" s="15"/>
      <c r="E38" s="15"/>
      <c r="F38" s="15"/>
      <c r="G38" s="15"/>
      <c r="H38" s="15"/>
      <c r="I38" s="16"/>
      <c r="K38" s="23">
        <v>2.4750000000000001</v>
      </c>
      <c r="L38" s="8">
        <v>11.65372</v>
      </c>
      <c r="M38" s="8">
        <v>3.4653800000000001</v>
      </c>
      <c r="N38" s="15"/>
      <c r="O38" s="15"/>
      <c r="P38" s="15"/>
      <c r="Q38" s="15"/>
      <c r="R38" s="15"/>
      <c r="S38" s="16"/>
    </row>
    <row r="39" spans="1:19" x14ac:dyDescent="0.2">
      <c r="A39" s="19">
        <v>2.8879000000000001</v>
      </c>
      <c r="B39" s="10">
        <v>7.4978199999999999</v>
      </c>
      <c r="C39" s="10">
        <v>3.9371800000000001</v>
      </c>
      <c r="D39" s="15"/>
      <c r="E39" s="15"/>
      <c r="F39" s="15"/>
      <c r="G39" s="15"/>
      <c r="H39" s="15"/>
      <c r="I39" s="16"/>
      <c r="K39" s="23">
        <v>2.5750000000000002</v>
      </c>
      <c r="L39" s="8">
        <v>11.662850000000001</v>
      </c>
      <c r="M39" s="8">
        <v>3.51172</v>
      </c>
      <c r="N39" s="15"/>
      <c r="O39" s="15"/>
      <c r="P39" s="15"/>
      <c r="Q39" s="15"/>
      <c r="R39" s="15"/>
      <c r="S39" s="16"/>
    </row>
    <row r="40" spans="1:19" x14ac:dyDescent="0.2">
      <c r="A40" s="19">
        <v>2.9878999999999998</v>
      </c>
      <c r="B40" s="10">
        <v>7.7111200000000002</v>
      </c>
      <c r="C40" s="10">
        <v>4.0419099999999997</v>
      </c>
      <c r="D40" s="15"/>
      <c r="E40" s="15"/>
      <c r="F40" s="15"/>
      <c r="G40" s="15"/>
      <c r="H40" s="15"/>
      <c r="I40" s="16"/>
      <c r="K40" s="23">
        <v>2.665</v>
      </c>
      <c r="L40" s="8">
        <v>11.67137</v>
      </c>
      <c r="M40" s="8">
        <v>3.55444</v>
      </c>
      <c r="N40" s="15"/>
      <c r="O40" s="15"/>
      <c r="P40" s="15"/>
      <c r="Q40" s="15"/>
      <c r="R40" s="15"/>
      <c r="S40" s="16"/>
    </row>
    <row r="41" spans="1:19" x14ac:dyDescent="0.2">
      <c r="A41" s="14"/>
      <c r="B41" s="15"/>
      <c r="C41" s="15"/>
      <c r="D41" s="15"/>
      <c r="E41" s="15"/>
      <c r="F41" s="15"/>
      <c r="G41" s="15"/>
      <c r="H41" s="15"/>
      <c r="I41" s="16"/>
      <c r="K41" s="23">
        <v>2.7549999999999999</v>
      </c>
      <c r="L41" s="8">
        <v>11.68017</v>
      </c>
      <c r="M41" s="8">
        <v>3.5981000000000001</v>
      </c>
      <c r="N41" s="15"/>
      <c r="O41" s="15"/>
      <c r="P41" s="15"/>
      <c r="Q41" s="15"/>
      <c r="R41" s="15"/>
      <c r="S41" s="16"/>
    </row>
    <row r="42" spans="1:19" x14ac:dyDescent="0.2">
      <c r="A42" s="14"/>
      <c r="B42" s="15"/>
      <c r="C42" s="15"/>
      <c r="D42" s="15"/>
      <c r="E42" s="15"/>
      <c r="F42" s="15"/>
      <c r="G42" s="15"/>
      <c r="H42" s="15"/>
      <c r="I42" s="16"/>
      <c r="K42" s="23">
        <v>2.8450000000000002</v>
      </c>
      <c r="L42" s="8">
        <v>11.68927</v>
      </c>
      <c r="M42" s="8">
        <v>3.6426500000000002</v>
      </c>
      <c r="N42" s="15"/>
      <c r="O42" s="15"/>
      <c r="P42" s="15"/>
      <c r="Q42" s="15"/>
      <c r="R42" s="15"/>
      <c r="S42" s="16"/>
    </row>
    <row r="43" spans="1:19" x14ac:dyDescent="0.2">
      <c r="A43" s="14"/>
      <c r="B43" s="15"/>
      <c r="C43" s="15"/>
      <c r="D43" s="15"/>
      <c r="E43" s="15"/>
      <c r="F43" s="15"/>
      <c r="G43" s="15"/>
      <c r="H43" s="15"/>
      <c r="I43" s="16"/>
      <c r="K43" s="23">
        <v>2.9350000000000001</v>
      </c>
      <c r="L43" s="8">
        <v>11.698639999999999</v>
      </c>
      <c r="M43" s="8">
        <v>3.6880799999999998</v>
      </c>
      <c r="N43" s="15"/>
      <c r="O43" s="15"/>
      <c r="P43" s="15"/>
      <c r="Q43" s="15"/>
      <c r="R43" s="15"/>
      <c r="S43" s="16"/>
    </row>
    <row r="44" spans="1:19" ht="13.5" thickBot="1" x14ac:dyDescent="0.25">
      <c r="A44" s="20"/>
      <c r="B44" s="21"/>
      <c r="C44" s="21"/>
      <c r="D44" s="21"/>
      <c r="E44" s="21"/>
      <c r="F44" s="21"/>
      <c r="G44" s="21"/>
      <c r="H44" s="21"/>
      <c r="I44" s="22"/>
      <c r="K44" s="20"/>
      <c r="L44" s="21"/>
      <c r="M44" s="21"/>
      <c r="N44" s="21"/>
      <c r="O44" s="21"/>
      <c r="P44" s="21"/>
      <c r="Q44" s="21"/>
      <c r="R44" s="21"/>
      <c r="S44" s="22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F35"/>
  <sheetViews>
    <sheetView topLeftCell="G1" workbookViewId="0">
      <selection activeCell="U30" sqref="U30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1" width="13.140625" bestFit="1" customWidth="1"/>
    <col min="13" max="14" width="13.140625" bestFit="1" customWidth="1"/>
    <col min="16" max="17" width="13.140625" bestFit="1" customWidth="1"/>
    <col min="19" max="20" width="13.140625" bestFit="1" customWidth="1"/>
    <col min="21" max="21" width="7.5703125" bestFit="1" customWidth="1"/>
    <col min="22" max="23" width="13.140625" bestFit="1" customWidth="1"/>
    <col min="24" max="24" width="7.5703125" bestFit="1" customWidth="1"/>
    <col min="25" max="26" width="13.140625" bestFit="1" customWidth="1"/>
    <col min="27" max="27" width="7.5703125" bestFit="1" customWidth="1"/>
    <col min="28" max="29" width="13.140625" bestFit="1" customWidth="1"/>
    <col min="31" max="32" width="13.140625" bestFit="1" customWidth="1"/>
  </cols>
  <sheetData>
    <row r="1" spans="1:32" ht="15.75" x14ac:dyDescent="0.25">
      <c r="A1" s="1" t="s">
        <v>66</v>
      </c>
    </row>
    <row r="3" spans="1:32" ht="15" x14ac:dyDescent="0.25">
      <c r="A3" s="30" t="s">
        <v>61</v>
      </c>
      <c r="D3" s="30" t="s">
        <v>70</v>
      </c>
      <c r="I3" s="60">
        <v>1</v>
      </c>
      <c r="J3" s="60"/>
      <c r="K3" s="60"/>
      <c r="L3" s="60">
        <v>3</v>
      </c>
      <c r="M3" s="60"/>
      <c r="N3" s="60"/>
      <c r="O3" s="60">
        <v>5</v>
      </c>
      <c r="P3" s="60"/>
      <c r="Q3" s="60"/>
      <c r="R3" s="60">
        <v>7</v>
      </c>
      <c r="S3" s="60"/>
      <c r="T3" s="60"/>
      <c r="U3" s="60">
        <v>9</v>
      </c>
      <c r="V3" s="60"/>
      <c r="W3" s="60"/>
      <c r="X3" s="60">
        <v>11</v>
      </c>
      <c r="Y3" s="60"/>
      <c r="Z3" s="60"/>
      <c r="AA3" s="60">
        <v>13</v>
      </c>
      <c r="AB3" s="60"/>
      <c r="AC3" s="60"/>
      <c r="AD3" s="60">
        <v>15</v>
      </c>
      <c r="AE3" s="60"/>
      <c r="AF3" s="60"/>
    </row>
    <row r="4" spans="1:32" ht="15" x14ac:dyDescent="0.25">
      <c r="A4" s="3" t="s">
        <v>62</v>
      </c>
      <c r="B4" s="31">
        <v>-1.6021766339999999E-19</v>
      </c>
      <c r="D4" s="29" t="s">
        <v>71</v>
      </c>
      <c r="E4" s="29" t="s">
        <v>72</v>
      </c>
      <c r="F4" s="29" t="s">
        <v>73</v>
      </c>
      <c r="G4" s="40"/>
      <c r="H4" s="33" t="s">
        <v>57</v>
      </c>
      <c r="I4" s="43" t="s">
        <v>92</v>
      </c>
      <c r="J4" s="43" t="s">
        <v>59</v>
      </c>
      <c r="K4" s="33" t="s">
        <v>93</v>
      </c>
      <c r="L4" s="43" t="s">
        <v>92</v>
      </c>
      <c r="M4" s="43" t="s">
        <v>59</v>
      </c>
      <c r="N4" s="33" t="s">
        <v>93</v>
      </c>
      <c r="O4" s="43" t="s">
        <v>92</v>
      </c>
      <c r="P4" s="43" t="s">
        <v>59</v>
      </c>
      <c r="Q4" s="33" t="s">
        <v>93</v>
      </c>
      <c r="R4" s="43" t="s">
        <v>92</v>
      </c>
      <c r="S4" s="43" t="s">
        <v>59</v>
      </c>
      <c r="T4" s="33" t="s">
        <v>93</v>
      </c>
      <c r="U4" s="43" t="s">
        <v>92</v>
      </c>
      <c r="V4" s="43" t="s">
        <v>59</v>
      </c>
      <c r="W4" s="33" t="s">
        <v>93</v>
      </c>
      <c r="X4" s="43" t="s">
        <v>92</v>
      </c>
      <c r="Y4" s="43" t="s">
        <v>59</v>
      </c>
      <c r="Z4" s="33" t="s">
        <v>93</v>
      </c>
      <c r="AA4" s="43" t="s">
        <v>92</v>
      </c>
      <c r="AB4" s="43" t="s">
        <v>59</v>
      </c>
      <c r="AC4" s="33" t="s">
        <v>93</v>
      </c>
      <c r="AD4" s="43" t="s">
        <v>92</v>
      </c>
      <c r="AE4" s="43" t="s">
        <v>59</v>
      </c>
      <c r="AF4" s="33" t="s">
        <v>93</v>
      </c>
    </row>
    <row r="5" spans="1:32" ht="15" x14ac:dyDescent="0.25">
      <c r="A5" s="3" t="s">
        <v>63</v>
      </c>
      <c r="B5" s="31">
        <v>9.1093835599999998E-31</v>
      </c>
      <c r="D5" s="41">
        <v>1</v>
      </c>
      <c r="E5" s="42">
        <f>($B$7*$B$6/(ABS($B$4)*($B$28/1000)/(2*(1/$B$19*1000)^2*$D5)*(1+0.5*$B$32^2)))</f>
        <v>918.40877644840486</v>
      </c>
      <c r="F5" s="42">
        <f>($B$7*$B$6/(ABS($B$4)*($B$28/1000)/(2*(1/$B$19*1000)^2*$D5)*(1+0)))</f>
        <v>3561.1280714956865</v>
      </c>
      <c r="H5" s="34">
        <f>B32</f>
        <v>2.3989572179443432</v>
      </c>
      <c r="I5" s="44">
        <f>($B$7*$B$6/(ABS($B$4)*($B$28/1000)/(2*(1/$B$19*1000)^2*I$3)*(1+0.5*$H5^2)))</f>
        <v>918.40877644840486</v>
      </c>
      <c r="J5" s="45">
        <f>(143100000000000*INT($B$31)*ABS($B$10)*I$3*$H5^2/(1+0.5*$H5^2)*(BESSELJ(I$3*$H5^2/(4+2*$H5^2),(I$3-1)/2) - BESSELJ(I$3*$H5^2/(4+2*$H5^2),(I$3+1)/2))^2)</f>
        <v>4472315044920181.5</v>
      </c>
      <c r="K5" s="45">
        <f>J5/(4*PI()^2*($B$21^2+(($B$6*$B$7/(ABS($B$4)*I5)*$B$31*($B$28/1000))^0.5/(4*PI()))^2)^0.5 *($B$23^2+(($B$6*$B$7/(ABS($B$4)*I5)*$B$31*($B$28/1000))^0.5/(4*PI()))^2)^0.5*($B$22^2+(($B$6*$B$7/(ABS($B$4)*I5)/($B$31*($B$28/1000)))^0.5)^2)^0.5*($B$24^2+(($B$6*$B$7/(ABS($B$4)*I5)/($B$31*($B$28/1000)))^0.5)^2)^0.5*10^12 )</f>
        <v>181897227980.74689</v>
      </c>
      <c r="L5" s="44">
        <f>($B$7*$B$6/(ABS($B$4)*($B$28/1000)/(2*(1/$B$19*1000)^2*L$3)*(1+0.5*$H5^2)))</f>
        <v>2755.2263293452147</v>
      </c>
      <c r="M5" s="45">
        <f>(143100000000000*INT($B$31)*ABS($B$10)*L$3*$H5^2/(1+0.5*$H5^2)*(BESSELJ(L$3*$H5^2/(4+2*$H5^2),(L$3-1)/2) - BESSELJ(L$3*$H5^2/(4+2*$H5^2),(L$3+1)/2))^2)</f>
        <v>2455667700942898</v>
      </c>
      <c r="N5" s="45">
        <f>M5/(4*PI()^2*($B$21^2+(($B$6*$B$7/(ABS($B$4)*L5)*$B$31*($B$28/1000))^0.5/(4*PI()))^2)^0.5 *($B$23^2+(($B$6*$B$7/(ABS($B$4)*L5)*$B$31*($B$28/1000))^0.5/(4*PI()))^2)^0.5*($B$22^2+(($B$6*$B$7/(ABS($B$4)*L5)/($B$31*($B$28/1000)))^0.5)^2)^0.5*($B$24^2+(($B$6*$B$7/(ABS($B$4)*L5)/($B$31*($B$28/1000)))^0.5)^2)^0.5*10^12 )</f>
        <v>99893533863.096207</v>
      </c>
      <c r="O5" s="44">
        <f>($B$7*$B$6/(ABS($B$4)*($B$28/1000)/(2*(1/$B$19*1000)^2*O$3)*(1+0.5*$H5^2)))</f>
        <v>4592.0438822420238</v>
      </c>
      <c r="P5" s="45">
        <f>(143100000000000*INT($B$31)*ABS($B$10)*O$3*$H5^2/(1+0.5*$H5^2)*(BESSELJ(O$3*$H5^2/(4+2*$H5^2),(O$3-1)/2) - BESSELJ(O$3*$H5^2/(4+2*$H5^2),(O$3+1)/2))^2)</f>
        <v>1646543539133235</v>
      </c>
      <c r="Q5" s="45">
        <f>P5/(4*PI()^2*($B$21^2+(($B$6*$B$7/(ABS($B$4)*O5)*$B$31*($B$28/1000))^0.5/(4*PI()))^2)^0.5 *($B$23^2+(($B$6*$B$7/(ABS($B$4)*O5)*$B$31*($B$28/1000))^0.5/(4*PI()))^2)^0.5*($B$22^2+(($B$6*$B$7/(ABS($B$4)*O5)/($B$31*($B$28/1000)))^0.5)^2)^0.5*($B$24^2+(($B$6*$B$7/(ABS($B$4)*O5)/($B$31*($B$28/1000)))^0.5)^2)^0.5*10^12 )</f>
        <v>66981646290.511269</v>
      </c>
      <c r="R5" s="44">
        <f>($B$7*$B$6/(ABS($B$4)*($B$28/1000)/(2*(1/$B$19*1000)^2*R$3)*(1+0.5*$H5^2)))</f>
        <v>6428.8614351388333</v>
      </c>
      <c r="S5" s="45">
        <f>(143100000000000*INT($B$31)*ABS($B$10)*R$3*$H5^2/(1+0.5*$H5^2)*(BESSELJ(R$3*$H5^2/(4+2*$H5^2),(R$3-1)/2) - BESSELJ(R$3*$H5^2/(4+2*$H5^2),(R$3+1)/2))^2)</f>
        <v>1163738217742903</v>
      </c>
      <c r="T5" s="45">
        <f>S5/(4*PI()^2*($B$21^2+(($B$6*$B$7/(ABS($B$4)*R5)*$B$31*($B$28/1000))^0.5/(4*PI()))^2)^0.5 *($B$23^2+(($B$6*$B$7/(ABS($B$4)*R5)*$B$31*($B$28/1000))^0.5/(4*PI()))^2)^0.5*($B$22^2+(($B$6*$B$7/(ABS($B$4)*R5)/($B$31*($B$28/1000)))^0.5)^2)^0.5*($B$24^2+(($B$6*$B$7/(ABS($B$4)*R5)/($B$31*($B$28/1000)))^0.5)^2)^0.5*10^12 )</f>
        <v>47341743351.319077</v>
      </c>
      <c r="U5" s="44">
        <f>($B$7*$B$6/(ABS($B$4)*($B$28/1000)/(2*(1/$B$19*1000)^2*U$3)*(1+0.5*$H5^2)))</f>
        <v>8265.6789880356428</v>
      </c>
      <c r="V5" s="45">
        <f>(143100000000000*INT($B$31)*ABS($B$10)*U$3*$H5^2/(1+0.5*$H5^2)*(BESSELJ(U$3*$H5^2/(4+2*$H5^2),(U$3-1)/2) - BESSELJ(U$3*$H5^2/(4+2*$H5^2),(U$3+1)/2))^2)</f>
        <v>841562219643757.13</v>
      </c>
      <c r="W5" s="45">
        <f>V5/(4*PI()^2*($B$21^2+(($B$6*$B$7/(ABS($B$4)*U5)*$B$31*($B$28/1000))^0.5/(4*PI()))^2)^0.5 *($B$23^2+(($B$6*$B$7/(ABS($B$4)*U5)*$B$31*($B$28/1000))^0.5/(4*PI()))^2)^0.5*($B$22^2+(($B$6*$B$7/(ABS($B$4)*U5)/($B$31*($B$28/1000)))^0.5)^2)^0.5*($B$24^2+(($B$6*$B$7/(ABS($B$4)*U5)/($B$31*($B$28/1000)))^0.5)^2)^0.5*10^12 )</f>
        <v>34235660315.062458</v>
      </c>
      <c r="X5" s="44">
        <f>($B$7*$B$6/(ABS($B$4)*($B$28/1000)/(2*(1/$B$19*1000)^2*X$3)*(1+0.5*$H5^2)))</f>
        <v>10102.496540932454</v>
      </c>
      <c r="Y5" s="45">
        <f>(143100000000000*INT($B$31)*ABS($B$10)*X$3*$H5^2/(1+0.5*$H5^2)*(BESSELJ(X$3*$H5^2/(4+2*$H5^2),(X$3-1)/2) - BESSELJ(X$3*$H5^2/(4+2*$H5^2),(X$3+1)/2))^2)</f>
        <v>616120479356974.88</v>
      </c>
      <c r="Z5" s="45">
        <f>Y5/(4*PI()^2*($B$21^2+(($B$6*$B$7/(ABS($B$4)*X5)*$B$31*($B$28/1000))^0.5/(4*PI()))^2)^0.5 *($B$23^2+(($B$6*$B$7/(ABS($B$4)*X5)*$B$31*($B$28/1000))^0.5/(4*PI()))^2)^0.5*($B$22^2+(($B$6*$B$7/(ABS($B$4)*X5)/($B$31*($B$28/1000)))^0.5)^2)^0.5*($B$24^2+(($B$6*$B$7/(ABS($B$4)*X5)/($B$31*($B$28/1000)))^0.5)^2)^0.5*10^12 )</f>
        <v>25064576346.772018</v>
      </c>
      <c r="AA5" s="44">
        <f>($B$7*$B$6/(ABS($B$4)*($B$28/1000)/(2*(1/$B$19*1000)^2*AA$3)*(1+0.5*$H5^2)))</f>
        <v>11939.314093829262</v>
      </c>
      <c r="AB5" s="45">
        <f>(143100000000000*INT($B$31)*ABS($B$10)*AA$3*$H5^2/(1+0.5*$H5^2)*(BESSELJ(AA$3*$H5^2/(4+2*$H5^2),(AA$3-1)/2) - BESSELJ(AA$3*$H5^2/(4+2*$H5^2),(AA$3+1)/2))^2)</f>
        <v>454456493001817.31</v>
      </c>
      <c r="AC5" s="45">
        <f>AB5/(4*PI()^2*($B$21^2+(($B$6*$B$7/(ABS($B$4)*AA5)*$B$31*($B$28/1000))^0.5/(4*PI()))^2)^0.5 *($B$23^2+(($B$6*$B$7/(ABS($B$4)*AA5)*$B$31*($B$28/1000))^0.5/(4*PI()))^2)^0.5*($B$22^2+(($B$6*$B$7/(ABS($B$4)*AA5)/($B$31*($B$28/1000)))^0.5)^2)^0.5*($B$24^2+(($B$6*$B$7/(ABS($B$4)*AA5)/($B$31*($B$28/1000)))^0.5)^2)^0.5*10^12 )</f>
        <v>18487942894.50935</v>
      </c>
      <c r="AD5" s="44">
        <f>($B$7*$B$6/(ABS($B$4)*($B$28/1000)/(2*(1/$B$19*1000)^2*AD$3)*(1+0.5*$H5^2)))</f>
        <v>13776.131646726073</v>
      </c>
      <c r="AE5" s="45">
        <f>(143100000000000*INT($B$31)*ABS($B$10)*AD$3*$H5^2/(1+0.5*$H5^2)*(BESSELJ(AD$3*$H5^2/(4+2*$H5^2),(AD$3-1)/2) - BESSELJ(AD$3*$H5^2/(4+2*$H5^2),(AD$3+1)/2))^2)</f>
        <v>336863996378212.94</v>
      </c>
      <c r="AF5" s="45">
        <f>AE5/(4*PI()^2*($B$21^2+(($B$6*$B$7/(ABS($B$4)*AD5)*$B$31*($B$28/1000))^0.5/(4*PI()))^2)^0.5 *($B$23^2+(($B$6*$B$7/(ABS($B$4)*AD5)*$B$31*($B$28/1000))^0.5/(4*PI()))^2)^0.5*($B$22^2+(($B$6*$B$7/(ABS($B$4)*AD5)/($B$31*($B$28/1000)))^0.5)^2)^0.5*($B$24^2+(($B$6*$B$7/(ABS($B$4)*AD5)/($B$31*($B$28/1000)))^0.5)^2)^0.5*10^12 )</f>
        <v>13704147200.79093</v>
      </c>
    </row>
    <row r="6" spans="1:32" ht="15" x14ac:dyDescent="0.25">
      <c r="A6" s="3" t="s">
        <v>64</v>
      </c>
      <c r="B6" s="31">
        <v>299792458</v>
      </c>
      <c r="D6" s="41">
        <v>3</v>
      </c>
      <c r="E6" s="42">
        <f t="shared" ref="E6:E12" si="0">($B$7*$B$6/(ABS($B$4)*($B$28/1000)/(2*(1/$B$19*1000)^2*$D6)*(1+0.5*$B$32^2)))</f>
        <v>2755.2263293452147</v>
      </c>
      <c r="F6" s="42">
        <f t="shared" ref="F6:F12" si="1">($B$7*$B$6/(ABS($B$4)*($B$28/1000)/(2*(1/$B$19*1000)^2*$D6)*(1+0)))</f>
        <v>10683.38421448706</v>
      </c>
      <c r="H6" s="34">
        <f>-$H$5/20+H5</f>
        <v>2.2790093570471259</v>
      </c>
      <c r="I6" s="44">
        <f t="shared" ref="I6:I24" si="2">($B$7*$B$6/(ABS($B$4)*($B$28/1000)/(2*(1/$B$19*1000)^2*I$3)*(1+0.5*$H6^2)))</f>
        <v>990.04327703828289</v>
      </c>
      <c r="J6" s="45">
        <f t="shared" ref="J6:J24" si="3">(143100000000000*INT($B$31)*ABS($B$10)*I$3*$H6^2/(1+0.5*$H6^2)*(BESSELJ(I$3*$H6^2/(4+2*$H6^2),(I$3-1)/2) - BESSELJ(I$3*$H6^2/(4+2*$H6^2),(I$3+1)/2))^2)</f>
        <v>4424570807892213</v>
      </c>
      <c r="K6" s="45">
        <f t="shared" ref="K6:K24" si="4">J6/(4*PI()^2*($B$21^2+(($B$6*$B$7/(ABS($B$4)*I6)*$B$31*($B$28/1000))^0.5/(4*PI()))^2)^0.5 *($B$23^2+(($B$6*$B$7/(ABS($B$4)*I6)*$B$31*($B$28/1000))^0.5/(4*PI()))^2)^0.5*($B$22^2+(($B$6*$B$7/(ABS($B$4)*I6)/($B$31*($B$28/1000)))^0.5)^2)^0.5*($B$24^2+(($B$6*$B$7/(ABS($B$4)*I6)/($B$31*($B$28/1000)))^0.5)^2)^0.5*10^12 )</f>
        <v>179958714161.88727</v>
      </c>
      <c r="L6" s="44">
        <f t="shared" ref="L6:L24" si="5">($B$7*$B$6/(ABS($B$4)*($B$28/1000)/(2*(1/$B$19*1000)^2*L$3)*(1+0.5*$H6^2)))</f>
        <v>2970.1298311148489</v>
      </c>
      <c r="M6" s="45">
        <f t="shared" ref="M6:M24" si="6">(143100000000000*INT($B$31)*ABS($B$10)*L$3*$H6^2/(1+0.5*$H6^2)*(BESSELJ(L$3*$H6^2/(4+2*$H6^2),(L$3-1)/2) - BESSELJ(L$3*$H6^2/(4+2*$H6^2),(L$3+1)/2))^2)</f>
        <v>2359169991997539</v>
      </c>
      <c r="N6" s="45">
        <f t="shared" ref="N6:N24" si="7">M6/(4*PI()^2*($B$21^2+(($B$6*$B$7/(ABS($B$4)*L6)*$B$31*($B$28/1000))^0.5/(4*PI()))^2)^0.5 *($B$23^2+(($B$6*$B$7/(ABS($B$4)*L6)*$B$31*($B$28/1000))^0.5/(4*PI()))^2)^0.5*($B$22^2+(($B$6*$B$7/(ABS($B$4)*L6)/($B$31*($B$28/1000)))^0.5)^2)^0.5*($B$24^2+(($B$6*$B$7/(ABS($B$4)*L6)/($B$31*($B$28/1000)))^0.5)^2)^0.5*10^12 )</f>
        <v>95968718401.91954</v>
      </c>
      <c r="O6" s="44">
        <f t="shared" ref="O6:O24" si="8">($B$7*$B$6/(ABS($B$4)*($B$28/1000)/(2*(1/$B$19*1000)^2*O$3)*(1+0.5*$H6^2)))</f>
        <v>4950.2163851914147</v>
      </c>
      <c r="P6" s="45">
        <f t="shared" ref="P6:P24" si="9">(143100000000000*INT($B$31)*ABS($B$10)*O$3*$H6^2/(1+0.5*$H6^2)*(BESSELJ(O$3*$H6^2/(4+2*$H6^2),(O$3-1)/2) - BESSELJ(O$3*$H6^2/(4+2*$H6^2),(O$3+1)/2))^2)</f>
        <v>1530742748596801.3</v>
      </c>
      <c r="Q6" s="45">
        <f t="shared" ref="Q6:Q24" si="10">P6/(4*PI()^2*($B$21^2+(($B$6*$B$7/(ABS($B$4)*O6)*$B$31*($B$28/1000))^0.5/(4*PI()))^2)^0.5 *($B$23^2+(($B$6*$B$7/(ABS($B$4)*O6)*$B$31*($B$28/1000))^0.5/(4*PI()))^2)^0.5*($B$22^2+(($B$6*$B$7/(ABS($B$4)*O6)/($B$31*($B$28/1000)))^0.5)^2)^0.5*($B$24^2+(($B$6*$B$7/(ABS($B$4)*O6)/($B$31*($B$28/1000)))^0.5)^2)^0.5*10^12 )</f>
        <v>62271082809.820816</v>
      </c>
      <c r="R6" s="44">
        <f t="shared" ref="R6:R24" si="11">($B$7*$B$6/(ABS($B$4)*($B$28/1000)/(2*(1/$B$19*1000)^2*R$3)*(1+0.5*$H6^2)))</f>
        <v>6930.30293926798</v>
      </c>
      <c r="S6" s="45">
        <f t="shared" ref="S6:S24" si="12">(143100000000000*INT($B$31)*ABS($B$10)*R$3*$H6^2/(1+0.5*$H6^2)*(BESSELJ(R$3*$H6^2/(4+2*$H6^2),(R$3-1)/2) - BESSELJ(R$3*$H6^2/(4+2*$H6^2),(R$3+1)/2))^2)</f>
        <v>1045387654286547.9</v>
      </c>
      <c r="T6" s="45">
        <f t="shared" ref="T6:T24" si="13">S6/(4*PI()^2*($B$21^2+(($B$6*$B$7/(ABS($B$4)*R6)*$B$31*($B$28/1000))^0.5/(4*PI()))^2)^0.5 *($B$23^2+(($B$6*$B$7/(ABS($B$4)*R6)*$B$31*($B$28/1000))^0.5/(4*PI()))^2)^0.5*($B$22^2+(($B$6*$B$7/(ABS($B$4)*R6)/($B$31*($B$28/1000)))^0.5)^2)^0.5*($B$24^2+(($B$6*$B$7/(ABS($B$4)*R6)/($B$31*($B$28/1000)))^0.5)^2)^0.5*10^12 )</f>
        <v>42527266183.902992</v>
      </c>
      <c r="U6" s="44">
        <f t="shared" ref="U6:U24" si="14">($B$7*$B$6/(ABS($B$4)*($B$28/1000)/(2*(1/$B$19*1000)^2*U$3)*(1+0.5*$H6^2)))</f>
        <v>8910.3894933445463</v>
      </c>
      <c r="V6" s="45">
        <f t="shared" ref="V6:V24" si="15">(143100000000000*INT($B$31)*ABS($B$10)*U$3*$H6^2/(1+0.5*$H6^2)*(BESSELJ(U$3*$H6^2/(4+2*$H6^2),(U$3-1)/2) - BESSELJ(U$3*$H6^2/(4+2*$H6^2),(U$3+1)/2))^2)</f>
        <v>729865912121208.25</v>
      </c>
      <c r="W6" s="45">
        <f t="shared" ref="W6:W24" si="16">V6/(4*PI()^2*($B$21^2+(($B$6*$B$7/(ABS($B$4)*U6)*$B$31*($B$28/1000))^0.5/(4*PI()))^2)^0.5 *($B$23^2+(($B$6*$B$7/(ABS($B$4)*U6)*$B$31*($B$28/1000))^0.5/(4*PI()))^2)^0.5*($B$22^2+(($B$6*$B$7/(ABS($B$4)*U6)/($B$31*($B$28/1000)))^0.5)^2)^0.5*($B$24^2+(($B$6*$B$7/(ABS($B$4)*U6)/($B$31*($B$28/1000)))^0.5)^2)^0.5*10^12 )</f>
        <v>29691794941.320786</v>
      </c>
      <c r="X6" s="44">
        <f t="shared" ref="X6:X24" si="17">($B$7*$B$6/(ABS($B$4)*($B$28/1000)/(2*(1/$B$19*1000)^2*X$3)*(1+0.5*$H6^2)))</f>
        <v>10890.476047421113</v>
      </c>
      <c r="Y6" s="45">
        <f t="shared" ref="Y6:Y24" si="18">(143100000000000*INT($B$31)*ABS($B$10)*X$3*$H6^2/(1+0.5*$H6^2)*(BESSELJ(X$3*$H6^2/(4+2*$H6^2),(X$3-1)/2) - BESSELJ(X$3*$H6^2/(4+2*$H6^2),(X$3+1)/2))^2)</f>
        <v>515622585121908.31</v>
      </c>
      <c r="Z6" s="45">
        <f t="shared" ref="Z6:Z24" si="19">Y6/(4*PI()^2*($B$21^2+(($B$6*$B$7/(ABS($B$4)*X6)*$B$31*($B$28/1000))^0.5/(4*PI()))^2)^0.5 *($B$23^2+(($B$6*$B$7/(ABS($B$4)*X6)*$B$31*($B$28/1000))^0.5/(4*PI()))^2)^0.5*($B$22^2+(($B$6*$B$7/(ABS($B$4)*X6)/($B$31*($B$28/1000)))^0.5)^2)^0.5*($B$24^2+(($B$6*$B$7/(ABS($B$4)*X6)/($B$31*($B$28/1000)))^0.5)^2)^0.5*10^12 )</f>
        <v>20976227606.127781</v>
      </c>
      <c r="AA6" s="44">
        <f t="shared" ref="AA6:AA24" si="20">($B$7*$B$6/(ABS($B$4)*($B$28/1000)/(2*(1/$B$19*1000)^2*AA$3)*(1+0.5*$H6^2)))</f>
        <v>12870.562601497679</v>
      </c>
      <c r="AB6" s="45">
        <f t="shared" ref="AB6:AB24" si="21">(143100000000000*INT($B$31)*ABS($B$10)*AA$3*$H6^2/(1+0.5*$H6^2)*(BESSELJ(AA$3*$H6^2/(4+2*$H6^2),(AA$3-1)/2) - BESSELJ(AA$3*$H6^2/(4+2*$H6^2),(AA$3+1)/2))^2)</f>
        <v>366872315228645.56</v>
      </c>
      <c r="AC6" s="45">
        <f t="shared" ref="AC6:AC24" si="22">AB6/(4*PI()^2*($B$21^2+(($B$6*$B$7/(ABS($B$4)*AA6)*$B$31*($B$28/1000))^0.5/(4*PI()))^2)^0.5 *($B$23^2+(($B$6*$B$7/(ABS($B$4)*AA6)*$B$31*($B$28/1000))^0.5/(4*PI()))^2)^0.5*($B$22^2+(($B$6*$B$7/(ABS($B$4)*AA6)/($B$31*($B$28/1000)))^0.5)^2)^0.5*($B$24^2+(($B$6*$B$7/(ABS($B$4)*AA6)/($B$31*($B$28/1000)))^0.5)^2)^0.5*10^12 )</f>
        <v>14924914001.208818</v>
      </c>
      <c r="AD6" s="44">
        <f t="shared" ref="AD6:AD24" si="23">($B$7*$B$6/(ABS($B$4)*($B$28/1000)/(2*(1/$B$19*1000)^2*AD$3)*(1+0.5*$H6^2)))</f>
        <v>14850.649155574243</v>
      </c>
      <c r="AE6" s="45">
        <f t="shared" ref="AE6:AE24" si="24">(143100000000000*INT($B$31)*ABS($B$10)*AD$3*$H6^2/(1+0.5*$H6^2)*(BESSELJ(AD$3*$H6^2/(4+2*$H6^2),(AD$3-1)/2) - BESSELJ(AD$3*$H6^2/(4+2*$H6^2),(AD$3+1)/2))^2)</f>
        <v>262255041202327.34</v>
      </c>
      <c r="AF6" s="45">
        <f t="shared" ref="AF6:AF24" si="25">AE6/(4*PI()^2*($B$21^2+(($B$6*$B$7/(ABS($B$4)*AD6)*$B$31*($B$28/1000))^0.5/(4*PI()))^2)^0.5 *($B$23^2+(($B$6*$B$7/(ABS($B$4)*AD6)*$B$31*($B$28/1000))^0.5/(4*PI()))^2)^0.5*($B$22^2+(($B$6*$B$7/(ABS($B$4)*AD6)/($B$31*($B$28/1000)))^0.5)^2)^0.5*($B$24^2+(($B$6*$B$7/(ABS($B$4)*AD6)/($B$31*($B$28/1000)))^0.5)^2)^0.5*10^12 )</f>
        <v>10668952943.554661</v>
      </c>
    </row>
    <row r="7" spans="1:32" ht="15" x14ac:dyDescent="0.25">
      <c r="A7" s="3" t="s">
        <v>65</v>
      </c>
      <c r="B7" s="31">
        <v>6.6260700399999999E-34</v>
      </c>
      <c r="D7" s="41">
        <v>5</v>
      </c>
      <c r="E7" s="42">
        <f t="shared" si="0"/>
        <v>4592.0438822420238</v>
      </c>
      <c r="F7" s="42">
        <f t="shared" si="1"/>
        <v>17805.640357478431</v>
      </c>
      <c r="H7" s="34">
        <f t="shared" ref="H7:H24" si="26">-$H$5/20+H6</f>
        <v>2.1590614961499086</v>
      </c>
      <c r="I7" s="44">
        <f t="shared" si="2"/>
        <v>1069.1595556347777</v>
      </c>
      <c r="J7" s="45">
        <f t="shared" si="3"/>
        <v>4367332712626342.5</v>
      </c>
      <c r="K7" s="45">
        <f t="shared" si="4"/>
        <v>177633813060.57669</v>
      </c>
      <c r="L7" s="44">
        <f t="shared" si="5"/>
        <v>3207.4786669043328</v>
      </c>
      <c r="M7" s="45">
        <f t="shared" si="6"/>
        <v>2248119963388206</v>
      </c>
      <c r="N7" s="45">
        <f t="shared" si="7"/>
        <v>91451847817.36084</v>
      </c>
      <c r="O7" s="44">
        <f t="shared" si="8"/>
        <v>5345.7977781738873</v>
      </c>
      <c r="P7" s="45">
        <f t="shared" si="9"/>
        <v>1402746085549733.5</v>
      </c>
      <c r="Q7" s="45">
        <f t="shared" si="10"/>
        <v>57064339941.754288</v>
      </c>
      <c r="R7" s="44">
        <f t="shared" si="11"/>
        <v>7484.1168894434431</v>
      </c>
      <c r="S7" s="45">
        <f t="shared" si="12"/>
        <v>919738780641524</v>
      </c>
      <c r="T7" s="45">
        <f t="shared" si="13"/>
        <v>37415856165.922371</v>
      </c>
      <c r="U7" s="44">
        <f t="shared" si="14"/>
        <v>9622.4360007129981</v>
      </c>
      <c r="V7" s="45">
        <f t="shared" si="15"/>
        <v>615965197740209.13</v>
      </c>
      <c r="W7" s="45">
        <f t="shared" si="16"/>
        <v>25058230203.31839</v>
      </c>
      <c r="X7" s="44">
        <f t="shared" si="17"/>
        <v>11760.755111982553</v>
      </c>
      <c r="Y7" s="45">
        <f t="shared" si="18"/>
        <v>417188825317247.19</v>
      </c>
      <c r="Z7" s="45">
        <f t="shared" si="19"/>
        <v>16971835570.670458</v>
      </c>
      <c r="AA7" s="44">
        <f t="shared" si="20"/>
        <v>13899.07422325211</v>
      </c>
      <c r="AB7" s="45">
        <f t="shared" si="21"/>
        <v>284474405489048.25</v>
      </c>
      <c r="AC7" s="45">
        <f t="shared" si="22"/>
        <v>11572859545.589916</v>
      </c>
      <c r="AD7" s="44">
        <f t="shared" si="23"/>
        <v>16037.393334521663</v>
      </c>
      <c r="AE7" s="45">
        <f t="shared" si="24"/>
        <v>194834530457354</v>
      </c>
      <c r="AF7" s="45">
        <f t="shared" si="25"/>
        <v>7926188424.5813189</v>
      </c>
    </row>
    <row r="8" spans="1:32" ht="15" x14ac:dyDescent="0.25">
      <c r="D8" s="41">
        <v>7</v>
      </c>
      <c r="E8" s="42">
        <f t="shared" si="0"/>
        <v>6428.8614351388333</v>
      </c>
      <c r="F8" s="42">
        <f t="shared" si="1"/>
        <v>24927.896500469804</v>
      </c>
      <c r="H8" s="34">
        <f t="shared" si="26"/>
        <v>2.0391136352526913</v>
      </c>
      <c r="I8" s="44">
        <f t="shared" si="2"/>
        <v>1156.5888544280463</v>
      </c>
      <c r="J8" s="45">
        <f t="shared" si="3"/>
        <v>4298525836306347</v>
      </c>
      <c r="K8" s="45">
        <f t="shared" si="4"/>
        <v>174838115585.89981</v>
      </c>
      <c r="L8" s="44">
        <f t="shared" si="5"/>
        <v>3469.766563284139</v>
      </c>
      <c r="M8" s="45">
        <f t="shared" si="6"/>
        <v>2120884428744536.8</v>
      </c>
      <c r="N8" s="45">
        <f t="shared" si="7"/>
        <v>86276478822.811646</v>
      </c>
      <c r="O8" s="44">
        <f t="shared" si="8"/>
        <v>5782.9442721402311</v>
      </c>
      <c r="P8" s="45">
        <f t="shared" si="9"/>
        <v>1262892131842055.8</v>
      </c>
      <c r="Q8" s="45">
        <f t="shared" si="10"/>
        <v>51375189130.081856</v>
      </c>
      <c r="R8" s="44">
        <f t="shared" si="11"/>
        <v>8096.1219809963241</v>
      </c>
      <c r="S8" s="45">
        <f t="shared" si="12"/>
        <v>788810014465936.5</v>
      </c>
      <c r="T8" s="45">
        <f t="shared" si="13"/>
        <v>32089624504.062668</v>
      </c>
      <c r="U8" s="44">
        <f t="shared" si="14"/>
        <v>10409.299689852418</v>
      </c>
      <c r="V8" s="45">
        <f t="shared" si="15"/>
        <v>502776080200232</v>
      </c>
      <c r="W8" s="45">
        <f t="shared" si="16"/>
        <v>20453593918.121841</v>
      </c>
      <c r="X8" s="44">
        <f t="shared" si="17"/>
        <v>12722.477398708512</v>
      </c>
      <c r="Y8" s="45">
        <f t="shared" si="18"/>
        <v>323900000314601.63</v>
      </c>
      <c r="Z8" s="45">
        <f t="shared" si="19"/>
        <v>13176733215.90288</v>
      </c>
      <c r="AA8" s="44">
        <f t="shared" si="20"/>
        <v>15035.655107564606</v>
      </c>
      <c r="AB8" s="45">
        <f t="shared" si="21"/>
        <v>209997851959956.84</v>
      </c>
      <c r="AC8" s="45">
        <f t="shared" si="22"/>
        <v>8543048884.3014593</v>
      </c>
      <c r="AD8" s="44">
        <f t="shared" si="23"/>
        <v>17348.832816420694</v>
      </c>
      <c r="AE8" s="45">
        <f t="shared" si="24"/>
        <v>136714274623630.75</v>
      </c>
      <c r="AF8" s="45">
        <f t="shared" si="25"/>
        <v>5561767203.3524628</v>
      </c>
    </row>
    <row r="9" spans="1:32" ht="15" x14ac:dyDescent="0.25">
      <c r="A9" s="3" t="s">
        <v>74</v>
      </c>
      <c r="B9" s="4">
        <v>3</v>
      </c>
      <c r="D9" s="41">
        <v>9</v>
      </c>
      <c r="E9" s="42">
        <f t="shared" si="0"/>
        <v>8265.6789880356428</v>
      </c>
      <c r="F9" s="42">
        <f t="shared" si="1"/>
        <v>32050.152643461181</v>
      </c>
      <c r="H9" s="34">
        <f t="shared" si="26"/>
        <v>1.9191657743554742</v>
      </c>
      <c r="I9" s="44">
        <f t="shared" si="2"/>
        <v>1253.2129020521063</v>
      </c>
      <c r="J9" s="45">
        <f t="shared" si="3"/>
        <v>4215632668808062.5</v>
      </c>
      <c r="K9" s="45">
        <f t="shared" si="4"/>
        <v>171469207493.32111</v>
      </c>
      <c r="L9" s="44">
        <f t="shared" si="5"/>
        <v>3759.6387061563196</v>
      </c>
      <c r="M9" s="45">
        <f t="shared" si="6"/>
        <v>1976049206015167.8</v>
      </c>
      <c r="N9" s="45">
        <f t="shared" si="7"/>
        <v>80385076896.682312</v>
      </c>
      <c r="O9" s="44">
        <f t="shared" si="8"/>
        <v>6266.0645102605322</v>
      </c>
      <c r="P9" s="45">
        <f t="shared" si="9"/>
        <v>1112384595299142.4</v>
      </c>
      <c r="Q9" s="45">
        <f t="shared" si="10"/>
        <v>45252596496.605843</v>
      </c>
      <c r="R9" s="44">
        <f t="shared" si="11"/>
        <v>8772.4903143647443</v>
      </c>
      <c r="S9" s="45">
        <f t="shared" si="12"/>
        <v>655595372138891.63</v>
      </c>
      <c r="T9" s="45">
        <f t="shared" si="13"/>
        <v>26670371857.118877</v>
      </c>
      <c r="U9" s="44">
        <f t="shared" si="14"/>
        <v>11278.916118468958</v>
      </c>
      <c r="V9" s="45">
        <f t="shared" si="15"/>
        <v>393892252834513.38</v>
      </c>
      <c r="W9" s="45">
        <f t="shared" si="16"/>
        <v>16024084141.644785</v>
      </c>
      <c r="X9" s="44">
        <f t="shared" si="17"/>
        <v>13785.34192257317</v>
      </c>
      <c r="Y9" s="45">
        <f t="shared" si="18"/>
        <v>239051308702185.91</v>
      </c>
      <c r="Z9" s="45">
        <f t="shared" si="19"/>
        <v>9724976238.3744411</v>
      </c>
      <c r="AA9" s="44">
        <f t="shared" si="20"/>
        <v>16291.767726677384</v>
      </c>
      <c r="AB9" s="45">
        <f t="shared" si="21"/>
        <v>145948764601726.78</v>
      </c>
      <c r="AC9" s="45">
        <f t="shared" si="22"/>
        <v>5937436606.2511244</v>
      </c>
      <c r="AD9" s="44">
        <f t="shared" si="23"/>
        <v>18798.193530781595</v>
      </c>
      <c r="AE9" s="45">
        <f t="shared" si="24"/>
        <v>89450970268877.969</v>
      </c>
      <c r="AF9" s="45">
        <f t="shared" si="25"/>
        <v>3639020093.7322993</v>
      </c>
    </row>
    <row r="10" spans="1:32" ht="15" x14ac:dyDescent="0.25">
      <c r="A10" s="3" t="s">
        <v>75</v>
      </c>
      <c r="B10" s="4">
        <v>0.35</v>
      </c>
      <c r="D10" s="41">
        <v>11</v>
      </c>
      <c r="E10" s="42">
        <f t="shared" si="0"/>
        <v>10102.496540932454</v>
      </c>
      <c r="F10" s="42">
        <f t="shared" si="1"/>
        <v>39172.408786452557</v>
      </c>
      <c r="H10" s="34">
        <f t="shared" si="26"/>
        <v>1.7992179134582571</v>
      </c>
      <c r="I10" s="44">
        <f t="shared" si="2"/>
        <v>1359.9397399268983</v>
      </c>
      <c r="J10" s="45">
        <f t="shared" si="3"/>
        <v>4115629943529267.5</v>
      </c>
      <c r="K10" s="45">
        <f t="shared" si="4"/>
        <v>167404099442.1571</v>
      </c>
      <c r="L10" s="44">
        <f t="shared" si="5"/>
        <v>4079.8192197806943</v>
      </c>
      <c r="M10" s="45">
        <f t="shared" si="6"/>
        <v>1812689582972204.5</v>
      </c>
      <c r="N10" s="45">
        <f t="shared" si="7"/>
        <v>73740019219.187881</v>
      </c>
      <c r="O10" s="44">
        <f t="shared" si="8"/>
        <v>6799.6986996344904</v>
      </c>
      <c r="P10" s="45">
        <f t="shared" si="9"/>
        <v>953587376548238.38</v>
      </c>
      <c r="Q10" s="45">
        <f t="shared" si="10"/>
        <v>38792726896.747162</v>
      </c>
      <c r="R10" s="44">
        <f t="shared" si="11"/>
        <v>9519.578179488286</v>
      </c>
      <c r="S10" s="45">
        <f t="shared" si="12"/>
        <v>524111151235589.56</v>
      </c>
      <c r="T10" s="45">
        <f t="shared" si="13"/>
        <v>21321487742.528927</v>
      </c>
      <c r="U10" s="44">
        <f t="shared" si="14"/>
        <v>12239.457659342082</v>
      </c>
      <c r="V10" s="45">
        <f t="shared" si="15"/>
        <v>293351157875995.06</v>
      </c>
      <c r="W10" s="45">
        <f t="shared" si="16"/>
        <v>11933952219.255945</v>
      </c>
      <c r="X10" s="44">
        <f t="shared" si="17"/>
        <v>14959.337139195881</v>
      </c>
      <c r="Y10" s="45">
        <f t="shared" si="18"/>
        <v>165749546039226.06</v>
      </c>
      <c r="Z10" s="45">
        <f t="shared" si="19"/>
        <v>6742956407.4765291</v>
      </c>
      <c r="AA10" s="44">
        <f t="shared" si="20"/>
        <v>17679.216619049676</v>
      </c>
      <c r="AB10" s="45">
        <f t="shared" si="21"/>
        <v>94175119467242.469</v>
      </c>
      <c r="AC10" s="45">
        <f t="shared" si="22"/>
        <v>3831203617.0696478</v>
      </c>
      <c r="AD10" s="44">
        <f t="shared" si="23"/>
        <v>20399.096098903468</v>
      </c>
      <c r="AE10" s="45">
        <f t="shared" si="24"/>
        <v>53699933676456.336</v>
      </c>
      <c r="AF10" s="45">
        <f t="shared" si="25"/>
        <v>2184608270.3962564</v>
      </c>
    </row>
    <row r="11" spans="1:32" ht="15" x14ac:dyDescent="0.25">
      <c r="A11" s="3" t="s">
        <v>76</v>
      </c>
      <c r="B11" s="4">
        <v>518.38599999999997</v>
      </c>
      <c r="D11" s="41">
        <v>13</v>
      </c>
      <c r="E11" s="42">
        <f t="shared" si="0"/>
        <v>11939.314093829262</v>
      </c>
      <c r="F11" s="42">
        <f t="shared" si="1"/>
        <v>46294.664929443927</v>
      </c>
      <c r="H11" s="34">
        <f t="shared" si="26"/>
        <v>1.67927005256104</v>
      </c>
      <c r="I11" s="44">
        <f t="shared" si="2"/>
        <v>1477.6624720485968</v>
      </c>
      <c r="J11" s="45">
        <f t="shared" si="3"/>
        <v>3994943333704211</v>
      </c>
      <c r="K11" s="45">
        <f t="shared" si="4"/>
        <v>162497383789.48123</v>
      </c>
      <c r="L11" s="44">
        <f t="shared" si="5"/>
        <v>4432.987416145791</v>
      </c>
      <c r="M11" s="45">
        <f t="shared" si="6"/>
        <v>1630754158472568.8</v>
      </c>
      <c r="N11" s="45">
        <f t="shared" si="7"/>
        <v>66339210004.728516</v>
      </c>
      <c r="O11" s="44">
        <f t="shared" si="8"/>
        <v>7388.3123602429841</v>
      </c>
      <c r="P11" s="45">
        <f t="shared" si="9"/>
        <v>790289375098752.13</v>
      </c>
      <c r="Q11" s="45">
        <f t="shared" si="10"/>
        <v>32149717037.524239</v>
      </c>
      <c r="R11" s="44">
        <f t="shared" si="11"/>
        <v>10343.637304340178</v>
      </c>
      <c r="S11" s="45">
        <f t="shared" si="12"/>
        <v>399253165930804.94</v>
      </c>
      <c r="T11" s="45">
        <f t="shared" si="13"/>
        <v>16242142928.980082</v>
      </c>
      <c r="U11" s="44">
        <f t="shared" si="14"/>
        <v>13298.962248437372</v>
      </c>
      <c r="V11" s="45">
        <f t="shared" si="15"/>
        <v>205178291886709.19</v>
      </c>
      <c r="W11" s="45">
        <f t="shared" si="16"/>
        <v>8346964422.6395149</v>
      </c>
      <c r="X11" s="44">
        <f t="shared" si="17"/>
        <v>16254.287192534566</v>
      </c>
      <c r="Y11" s="45">
        <f t="shared" si="18"/>
        <v>106373737872230</v>
      </c>
      <c r="Z11" s="45">
        <f t="shared" si="19"/>
        <v>4327459063.4435263</v>
      </c>
      <c r="AA11" s="44">
        <f t="shared" si="20"/>
        <v>19209.61213663176</v>
      </c>
      <c r="AB11" s="45">
        <f t="shared" si="21"/>
        <v>55434146397634.117</v>
      </c>
      <c r="AC11" s="45">
        <f t="shared" si="22"/>
        <v>2255157501.7777996</v>
      </c>
      <c r="AD11" s="44">
        <f t="shared" si="23"/>
        <v>22164.937080728952</v>
      </c>
      <c r="AE11" s="45">
        <f t="shared" si="24"/>
        <v>28983551144434.582</v>
      </c>
      <c r="AF11" s="45">
        <f t="shared" si="25"/>
        <v>1179103200.4437912</v>
      </c>
    </row>
    <row r="12" spans="1:32" ht="15" x14ac:dyDescent="0.25">
      <c r="A12" s="3" t="s">
        <v>77</v>
      </c>
      <c r="B12" s="4">
        <v>864</v>
      </c>
      <c r="D12" s="41">
        <v>15</v>
      </c>
      <c r="E12" s="42">
        <f t="shared" si="0"/>
        <v>13776.131646726073</v>
      </c>
      <c r="F12" s="42">
        <f t="shared" si="1"/>
        <v>53416.921072435296</v>
      </c>
      <c r="H12" s="34">
        <f t="shared" si="26"/>
        <v>1.5593221916638229</v>
      </c>
      <c r="I12" s="44">
        <f t="shared" si="2"/>
        <v>1607.1937560682047</v>
      </c>
      <c r="J12" s="45">
        <f t="shared" si="3"/>
        <v>3849445207694963</v>
      </c>
      <c r="K12" s="45">
        <f t="shared" si="4"/>
        <v>156581143014.66556</v>
      </c>
      <c r="L12" s="44">
        <f t="shared" si="5"/>
        <v>4821.5812682046144</v>
      </c>
      <c r="M12" s="45">
        <f t="shared" si="6"/>
        <v>1431565261408037</v>
      </c>
      <c r="N12" s="45">
        <f t="shared" si="7"/>
        <v>58236438550.095497</v>
      </c>
      <c r="O12" s="44">
        <f t="shared" si="8"/>
        <v>8035.9687803410243</v>
      </c>
      <c r="P12" s="45">
        <f t="shared" si="9"/>
        <v>627834430165305.25</v>
      </c>
      <c r="Q12" s="45">
        <f t="shared" si="10"/>
        <v>25540962166.889626</v>
      </c>
      <c r="R12" s="44">
        <f t="shared" si="11"/>
        <v>11250.356292477434</v>
      </c>
      <c r="S12" s="45">
        <f t="shared" si="12"/>
        <v>286366488975006.94</v>
      </c>
      <c r="T12" s="45">
        <f t="shared" si="13"/>
        <v>11649786049.099213</v>
      </c>
      <c r="U12" s="44">
        <f t="shared" si="14"/>
        <v>14464.743804613843</v>
      </c>
      <c r="V12" s="45">
        <f t="shared" si="15"/>
        <v>132715288649918.16</v>
      </c>
      <c r="W12" s="45">
        <f t="shared" si="16"/>
        <v>5399067126.0146656</v>
      </c>
      <c r="X12" s="44">
        <f t="shared" si="17"/>
        <v>17679.131316750256</v>
      </c>
      <c r="Y12" s="45">
        <f t="shared" si="18"/>
        <v>62008833046764.195</v>
      </c>
      <c r="Z12" s="45">
        <f t="shared" si="19"/>
        <v>2522624518.9572129</v>
      </c>
      <c r="AA12" s="44">
        <f t="shared" si="20"/>
        <v>20893.518828886667</v>
      </c>
      <c r="AB12" s="45">
        <f t="shared" si="21"/>
        <v>29110202861818.41</v>
      </c>
      <c r="AC12" s="45">
        <f t="shared" si="22"/>
        <v>1184254856.7869489</v>
      </c>
      <c r="AD12" s="44">
        <f t="shared" si="23"/>
        <v>24107.906341023074</v>
      </c>
      <c r="AE12" s="45">
        <f t="shared" si="24"/>
        <v>13707112008135.791</v>
      </c>
      <c r="AF12" s="45">
        <f t="shared" si="25"/>
        <v>557630546.05544627</v>
      </c>
    </row>
    <row r="13" spans="1:32" ht="15.75" x14ac:dyDescent="0.25">
      <c r="A13" s="3" t="s">
        <v>78</v>
      </c>
      <c r="B13" s="32">
        <v>11.6</v>
      </c>
      <c r="H13" s="34">
        <f t="shared" si="26"/>
        <v>1.4393743307666058</v>
      </c>
      <c r="I13" s="44">
        <f t="shared" si="2"/>
        <v>1749.1671569305979</v>
      </c>
      <c r="J13" s="45">
        <f t="shared" si="3"/>
        <v>3674536467697851.5</v>
      </c>
      <c r="K13" s="45">
        <f t="shared" si="4"/>
        <v>149468278698.52948</v>
      </c>
      <c r="L13" s="44">
        <f t="shared" si="5"/>
        <v>5247.5014707917944</v>
      </c>
      <c r="M13" s="45">
        <f t="shared" si="6"/>
        <v>1218398667486756.3</v>
      </c>
      <c r="N13" s="45">
        <f t="shared" si="7"/>
        <v>49564963465.999184</v>
      </c>
      <c r="O13" s="44">
        <f t="shared" si="8"/>
        <v>8745.8357846529889</v>
      </c>
      <c r="P13" s="45">
        <f t="shared" si="9"/>
        <v>472961394483451.25</v>
      </c>
      <c r="Q13" s="45">
        <f t="shared" si="10"/>
        <v>19240610551.777275</v>
      </c>
      <c r="R13" s="44">
        <f t="shared" si="11"/>
        <v>12244.170098514185</v>
      </c>
      <c r="S13" s="45">
        <f t="shared" si="12"/>
        <v>190471031220252.88</v>
      </c>
      <c r="T13" s="45">
        <f t="shared" si="13"/>
        <v>7748638931.5590191</v>
      </c>
      <c r="U13" s="44">
        <f t="shared" si="14"/>
        <v>15742.504412375381</v>
      </c>
      <c r="V13" s="45">
        <f t="shared" si="15"/>
        <v>77846721727693.891</v>
      </c>
      <c r="W13" s="45">
        <f t="shared" si="16"/>
        <v>3166931517.7195778</v>
      </c>
      <c r="X13" s="44">
        <f t="shared" si="17"/>
        <v>19240.83872623658</v>
      </c>
      <c r="Y13" s="45">
        <f t="shared" si="18"/>
        <v>32055021493452.102</v>
      </c>
      <c r="Z13" s="45">
        <f t="shared" si="19"/>
        <v>1304054059.1649435</v>
      </c>
      <c r="AA13" s="44">
        <f t="shared" si="20"/>
        <v>22739.173040097772</v>
      </c>
      <c r="AB13" s="45">
        <f t="shared" si="21"/>
        <v>13256540968088.816</v>
      </c>
      <c r="AC13" s="45">
        <f t="shared" si="22"/>
        <v>539300170.30770075</v>
      </c>
      <c r="AD13" s="44">
        <f t="shared" si="23"/>
        <v>26237.507353958968</v>
      </c>
      <c r="AE13" s="45">
        <f t="shared" si="24"/>
        <v>5497339414392.3145</v>
      </c>
      <c r="AF13" s="45">
        <f t="shared" si="25"/>
        <v>223642062.86911759</v>
      </c>
    </row>
    <row r="14" spans="1:32" ht="15" x14ac:dyDescent="0.25">
      <c r="A14" s="3" t="s">
        <v>79</v>
      </c>
      <c r="B14" s="32">
        <v>2.5192064617378999E-10</v>
      </c>
      <c r="H14" s="34">
        <f t="shared" si="26"/>
        <v>1.3194264698693887</v>
      </c>
      <c r="I14" s="44">
        <f t="shared" si="2"/>
        <v>1903.895425931426</v>
      </c>
      <c r="J14" s="45">
        <f t="shared" si="3"/>
        <v>3465374284101748</v>
      </c>
      <c r="K14" s="45">
        <f t="shared" si="4"/>
        <v>140961775670.04105</v>
      </c>
      <c r="L14" s="44">
        <f t="shared" si="5"/>
        <v>5711.6862777942779</v>
      </c>
      <c r="M14" s="45">
        <f t="shared" si="6"/>
        <v>997030416257298.75</v>
      </c>
      <c r="N14" s="45">
        <f t="shared" si="7"/>
        <v>40559758777.701607</v>
      </c>
      <c r="O14" s="44">
        <f t="shared" si="8"/>
        <v>9519.4771296571289</v>
      </c>
      <c r="P14" s="45">
        <f t="shared" si="9"/>
        <v>333178721647470.25</v>
      </c>
      <c r="Q14" s="45">
        <f t="shared" si="10"/>
        <v>13554121126.918846</v>
      </c>
      <c r="R14" s="44">
        <f t="shared" si="11"/>
        <v>13327.267981519983</v>
      </c>
      <c r="S14" s="45">
        <f t="shared" si="12"/>
        <v>115210105519633.06</v>
      </c>
      <c r="T14" s="45">
        <f t="shared" si="13"/>
        <v>4686922184.396841</v>
      </c>
      <c r="U14" s="44">
        <f t="shared" si="14"/>
        <v>17135.058833382835</v>
      </c>
      <c r="V14" s="45">
        <f t="shared" si="15"/>
        <v>40382111174518.039</v>
      </c>
      <c r="W14" s="45">
        <f t="shared" si="16"/>
        <v>1642812092.4976463</v>
      </c>
      <c r="X14" s="44">
        <f t="shared" si="17"/>
        <v>20942.849685245685</v>
      </c>
      <c r="Y14" s="45">
        <f t="shared" si="18"/>
        <v>14250886779675.145</v>
      </c>
      <c r="Z14" s="45">
        <f t="shared" si="19"/>
        <v>579751450.36570013</v>
      </c>
      <c r="AA14" s="44">
        <f t="shared" si="20"/>
        <v>24750.640537108538</v>
      </c>
      <c r="AB14" s="45">
        <f t="shared" si="21"/>
        <v>5048873644794.7178</v>
      </c>
      <c r="AC14" s="45">
        <f t="shared" si="22"/>
        <v>205397524.92649081</v>
      </c>
      <c r="AD14" s="44">
        <f t="shared" si="23"/>
        <v>28558.431388971389</v>
      </c>
      <c r="AE14" s="45">
        <f t="shared" si="24"/>
        <v>1793151433863.5315</v>
      </c>
      <c r="AF14" s="45">
        <f t="shared" si="25"/>
        <v>72948811.679980353</v>
      </c>
    </row>
    <row r="15" spans="1:32" ht="15" x14ac:dyDescent="0.25">
      <c r="A15" s="3" t="s">
        <v>80</v>
      </c>
      <c r="B15" s="4">
        <v>0.01</v>
      </c>
      <c r="H15" s="34">
        <f t="shared" si="26"/>
        <v>1.1994786089721716</v>
      </c>
      <c r="I15" s="44">
        <f t="shared" si="2"/>
        <v>2071.1765473343339</v>
      </c>
      <c r="J15" s="45">
        <f t="shared" si="3"/>
        <v>3217330273504441.5</v>
      </c>
      <c r="K15" s="45">
        <f t="shared" si="4"/>
        <v>130873340880.1562</v>
      </c>
      <c r="L15" s="44">
        <f t="shared" si="5"/>
        <v>6213.5296420030018</v>
      </c>
      <c r="M15" s="45">
        <f t="shared" si="6"/>
        <v>776028047155324</v>
      </c>
      <c r="N15" s="45">
        <f t="shared" si="7"/>
        <v>31569362879.315678</v>
      </c>
      <c r="O15" s="44">
        <f t="shared" si="8"/>
        <v>10355.882736671671</v>
      </c>
      <c r="P15" s="45">
        <f t="shared" si="9"/>
        <v>215566847191237.81</v>
      </c>
      <c r="Q15" s="45">
        <f t="shared" si="10"/>
        <v>8769542575.1936016</v>
      </c>
      <c r="R15" s="44">
        <f t="shared" si="11"/>
        <v>14498.235831340338</v>
      </c>
      <c r="S15" s="45">
        <f t="shared" si="12"/>
        <v>61797849764870.125</v>
      </c>
      <c r="T15" s="45">
        <f t="shared" si="13"/>
        <v>2514034027.6014085</v>
      </c>
      <c r="U15" s="44">
        <f t="shared" si="14"/>
        <v>18640.588926009008</v>
      </c>
      <c r="V15" s="45">
        <f t="shared" si="15"/>
        <v>17935900046364.086</v>
      </c>
      <c r="W15" s="45">
        <f t="shared" si="16"/>
        <v>729663340.39041495</v>
      </c>
      <c r="X15" s="44">
        <f t="shared" si="17"/>
        <v>22782.942020677674</v>
      </c>
      <c r="Y15" s="45">
        <f t="shared" si="18"/>
        <v>5237695504744.7969</v>
      </c>
      <c r="Z15" s="45">
        <f t="shared" si="19"/>
        <v>213078972.91030017</v>
      </c>
      <c r="AA15" s="44">
        <f t="shared" si="20"/>
        <v>26925.295115346344</v>
      </c>
      <c r="AB15" s="45">
        <f t="shared" si="21"/>
        <v>1534907788551.9954</v>
      </c>
      <c r="AC15" s="45">
        <f t="shared" si="22"/>
        <v>62442937.724175327</v>
      </c>
      <c r="AD15" s="44">
        <f t="shared" si="23"/>
        <v>31067.64821001501</v>
      </c>
      <c r="AE15" s="45">
        <f t="shared" si="24"/>
        <v>450795475230.34204</v>
      </c>
      <c r="AF15" s="45">
        <f t="shared" si="25"/>
        <v>18339229.731804434</v>
      </c>
    </row>
    <row r="16" spans="1:32" ht="15" x14ac:dyDescent="0.25">
      <c r="A16" s="3" t="s">
        <v>81</v>
      </c>
      <c r="B16" s="4">
        <v>8.4666891478398995E-4</v>
      </c>
      <c r="D16" s="6"/>
      <c r="H16" s="34">
        <f t="shared" si="26"/>
        <v>1.0795307480749545</v>
      </c>
      <c r="I16" s="44">
        <f t="shared" si="2"/>
        <v>2250.0430316794364</v>
      </c>
      <c r="J16" s="45">
        <f t="shared" si="3"/>
        <v>2926779040238976.5</v>
      </c>
      <c r="K16" s="45">
        <f t="shared" si="4"/>
        <v>119055481948.5461</v>
      </c>
      <c r="L16" s="44">
        <f t="shared" si="5"/>
        <v>6750.1290950383082</v>
      </c>
      <c r="M16" s="45">
        <f t="shared" si="6"/>
        <v>566447075105626.63</v>
      </c>
      <c r="N16" s="45">
        <f t="shared" si="7"/>
        <v>23043531875.951797</v>
      </c>
      <c r="O16" s="44">
        <f t="shared" si="8"/>
        <v>11250.215158397179</v>
      </c>
      <c r="P16" s="45">
        <f t="shared" si="9"/>
        <v>125126605237319.86</v>
      </c>
      <c r="Q16" s="45">
        <f t="shared" si="10"/>
        <v>5090323888.4562044</v>
      </c>
      <c r="R16" s="44">
        <f t="shared" si="11"/>
        <v>15750.301221756054</v>
      </c>
      <c r="S16" s="45">
        <f t="shared" si="12"/>
        <v>28447788568444.051</v>
      </c>
      <c r="T16" s="45">
        <f t="shared" si="13"/>
        <v>1157302412.9117482</v>
      </c>
      <c r="U16" s="44">
        <f t="shared" si="14"/>
        <v>20250.387285114924</v>
      </c>
      <c r="V16" s="45">
        <f t="shared" si="15"/>
        <v>6540063647913.2842</v>
      </c>
      <c r="W16" s="45">
        <f t="shared" si="16"/>
        <v>266061332.79892397</v>
      </c>
      <c r="X16" s="44">
        <f t="shared" si="17"/>
        <v>24750.473348473799</v>
      </c>
      <c r="Y16" s="45">
        <f t="shared" si="18"/>
        <v>1511825544308.6831</v>
      </c>
      <c r="Z16" s="45">
        <f t="shared" si="19"/>
        <v>61503861.405181408</v>
      </c>
      <c r="AA16" s="44">
        <f t="shared" si="20"/>
        <v>29250.559411832674</v>
      </c>
      <c r="AB16" s="45">
        <f t="shared" si="21"/>
        <v>350572102351.78918</v>
      </c>
      <c r="AC16" s="45">
        <f t="shared" si="22"/>
        <v>14261942.841190116</v>
      </c>
      <c r="AD16" s="44">
        <f t="shared" si="23"/>
        <v>33750.645475191544</v>
      </c>
      <c r="AE16" s="45">
        <f t="shared" si="24"/>
        <v>81451374300.672699</v>
      </c>
      <c r="AF16" s="45">
        <f t="shared" si="25"/>
        <v>3313601.0580696943</v>
      </c>
    </row>
    <row r="17" spans="1:32" ht="15" x14ac:dyDescent="0.25">
      <c r="A17" s="3" t="s">
        <v>82</v>
      </c>
      <c r="B17" s="4">
        <v>1.357</v>
      </c>
      <c r="H17" s="34">
        <f t="shared" si="26"/>
        <v>0.95958288717773732</v>
      </c>
      <c r="I17" s="44">
        <f t="shared" si="2"/>
        <v>2438.4613145617532</v>
      </c>
      <c r="J17" s="45">
        <f t="shared" si="3"/>
        <v>2592305204646791.5</v>
      </c>
      <c r="K17" s="45">
        <f t="shared" si="4"/>
        <v>105450610475.75246</v>
      </c>
      <c r="L17" s="44">
        <f t="shared" si="5"/>
        <v>7315.3839436852595</v>
      </c>
      <c r="M17" s="45">
        <f t="shared" si="6"/>
        <v>380559365341805.06</v>
      </c>
      <c r="N17" s="45">
        <f t="shared" si="7"/>
        <v>15481508947.043648</v>
      </c>
      <c r="O17" s="44">
        <f t="shared" si="8"/>
        <v>12192.306572808764</v>
      </c>
      <c r="P17" s="45">
        <f t="shared" si="9"/>
        <v>63171221238348.844</v>
      </c>
      <c r="Q17" s="45">
        <f t="shared" si="10"/>
        <v>2569897065.8871403</v>
      </c>
      <c r="R17" s="44">
        <f t="shared" si="11"/>
        <v>17069.22920193227</v>
      </c>
      <c r="S17" s="45">
        <f t="shared" si="12"/>
        <v>10763251421310.838</v>
      </c>
      <c r="T17" s="45">
        <f t="shared" si="13"/>
        <v>437867118.37953037</v>
      </c>
      <c r="U17" s="44">
        <f t="shared" si="14"/>
        <v>21946.15183105578</v>
      </c>
      <c r="V17" s="45">
        <f t="shared" si="15"/>
        <v>1852203723125.2813</v>
      </c>
      <c r="W17" s="45">
        <f t="shared" si="16"/>
        <v>75350984.288916841</v>
      </c>
      <c r="X17" s="44">
        <f t="shared" si="17"/>
        <v>26823.074460179287</v>
      </c>
      <c r="Y17" s="45">
        <f t="shared" si="18"/>
        <v>320294067472.75568</v>
      </c>
      <c r="Z17" s="45">
        <f t="shared" si="19"/>
        <v>13030165.064251851</v>
      </c>
      <c r="AA17" s="44">
        <f t="shared" si="20"/>
        <v>31699.997089302789</v>
      </c>
      <c r="AB17" s="45">
        <f t="shared" si="21"/>
        <v>55539713189.80024</v>
      </c>
      <c r="AC17" s="45">
        <f t="shared" si="22"/>
        <v>2259463.0361616719</v>
      </c>
      <c r="AD17" s="44">
        <f t="shared" si="23"/>
        <v>36576.919718426296</v>
      </c>
      <c r="AE17" s="45">
        <f t="shared" si="24"/>
        <v>9647167017.1046314</v>
      </c>
      <c r="AF17" s="45">
        <f t="shared" si="25"/>
        <v>392465.81549382937</v>
      </c>
    </row>
    <row r="18" spans="1:32" ht="15" x14ac:dyDescent="0.25">
      <c r="A18" s="3" t="s">
        <v>83</v>
      </c>
      <c r="B18" s="4">
        <v>1.6</v>
      </c>
      <c r="H18" s="34">
        <f t="shared" si="26"/>
        <v>0.83963502628052011</v>
      </c>
      <c r="I18" s="44">
        <f t="shared" si="2"/>
        <v>2633.0094017495717</v>
      </c>
      <c r="J18" s="45">
        <f t="shared" si="3"/>
        <v>2216345687630132.5</v>
      </c>
      <c r="K18" s="45">
        <f t="shared" si="4"/>
        <v>90157852491.022888</v>
      </c>
      <c r="L18" s="44">
        <f t="shared" si="5"/>
        <v>7899.0282052487146</v>
      </c>
      <c r="M18" s="45">
        <f t="shared" si="6"/>
        <v>229441674124044.91</v>
      </c>
      <c r="N18" s="45">
        <f t="shared" si="7"/>
        <v>9333922870.6605492</v>
      </c>
      <c r="O18" s="44">
        <f t="shared" si="8"/>
        <v>13165.047008747857</v>
      </c>
      <c r="P18" s="45">
        <f t="shared" si="9"/>
        <v>26602901561779.324</v>
      </c>
      <c r="Q18" s="45">
        <f t="shared" si="10"/>
        <v>1082246230.3934615</v>
      </c>
      <c r="R18" s="44">
        <f t="shared" si="11"/>
        <v>18431.065812247001</v>
      </c>
      <c r="S18" s="45">
        <f t="shared" si="12"/>
        <v>3157552041009.4019</v>
      </c>
      <c r="T18" s="45">
        <f t="shared" si="13"/>
        <v>128454643.11672734</v>
      </c>
      <c r="U18" s="44">
        <f t="shared" si="14"/>
        <v>23697.084615746146</v>
      </c>
      <c r="V18" s="45">
        <f t="shared" si="15"/>
        <v>378092319305.97565</v>
      </c>
      <c r="W18" s="45">
        <f t="shared" si="16"/>
        <v>15381488.873128446</v>
      </c>
      <c r="X18" s="44">
        <f t="shared" si="17"/>
        <v>28963.10341924529</v>
      </c>
      <c r="Y18" s="45">
        <f t="shared" si="18"/>
        <v>45467597136.529427</v>
      </c>
      <c r="Z18" s="45">
        <f t="shared" si="19"/>
        <v>1849708.5632854127</v>
      </c>
      <c r="AA18" s="44">
        <f t="shared" si="20"/>
        <v>34229.12222274443</v>
      </c>
      <c r="AB18" s="45">
        <f t="shared" si="21"/>
        <v>5480861696.4577398</v>
      </c>
      <c r="AC18" s="45">
        <f t="shared" si="22"/>
        <v>222972.18482239204</v>
      </c>
      <c r="AD18" s="44">
        <f t="shared" si="23"/>
        <v>39495.141026243575</v>
      </c>
      <c r="AE18" s="45">
        <f t="shared" si="24"/>
        <v>661667819.71372795</v>
      </c>
      <c r="AF18" s="45">
        <f t="shared" si="25"/>
        <v>26917.967035818172</v>
      </c>
    </row>
    <row r="19" spans="1:32" ht="15" x14ac:dyDescent="0.25">
      <c r="A19" s="3" t="s">
        <v>84</v>
      </c>
      <c r="B19" s="37">
        <f>ABS(1/(B9*1000000000*B4/(B5*B6^2)))*1000</f>
        <v>0.17033298068619876</v>
      </c>
      <c r="H19" s="34">
        <f t="shared" si="26"/>
        <v>0.71968716538330291</v>
      </c>
      <c r="I19" s="44">
        <f t="shared" si="2"/>
        <v>2828.5935896749111</v>
      </c>
      <c r="J19" s="45">
        <f t="shared" si="3"/>
        <v>1807115599907413.8</v>
      </c>
      <c r="K19" s="45">
        <f t="shared" si="4"/>
        <v>73511396808.935944</v>
      </c>
      <c r="L19" s="44">
        <f t="shared" si="5"/>
        <v>8485.7807690247337</v>
      </c>
      <c r="M19" s="45">
        <f t="shared" si="6"/>
        <v>119827012118540.58</v>
      </c>
      <c r="N19" s="45">
        <f t="shared" si="7"/>
        <v>4874695909.0601072</v>
      </c>
      <c r="O19" s="44">
        <f t="shared" si="8"/>
        <v>14142.967948374553</v>
      </c>
      <c r="P19" s="45">
        <f t="shared" si="9"/>
        <v>8815287939899.4004</v>
      </c>
      <c r="Q19" s="45">
        <f t="shared" si="10"/>
        <v>358619675.32439029</v>
      </c>
      <c r="R19" s="44">
        <f t="shared" si="11"/>
        <v>19800.155127724378</v>
      </c>
      <c r="S19" s="45">
        <f t="shared" si="12"/>
        <v>662162581825.19189</v>
      </c>
      <c r="T19" s="45">
        <f t="shared" si="13"/>
        <v>26937935.475047126</v>
      </c>
      <c r="U19" s="44">
        <f t="shared" si="14"/>
        <v>25457.342307074203</v>
      </c>
      <c r="V19" s="45">
        <f t="shared" si="15"/>
        <v>50124573680.046707</v>
      </c>
      <c r="W19" s="45">
        <f t="shared" si="16"/>
        <v>2039160.9714312139</v>
      </c>
      <c r="X19" s="44">
        <f t="shared" si="17"/>
        <v>31114.52948642402</v>
      </c>
      <c r="Y19" s="45">
        <f t="shared" si="18"/>
        <v>3808488837.6629953</v>
      </c>
      <c r="Z19" s="45">
        <f t="shared" si="19"/>
        <v>154936.67607344009</v>
      </c>
      <c r="AA19" s="44">
        <f t="shared" si="20"/>
        <v>36771.716665773849</v>
      </c>
      <c r="AB19" s="45">
        <f t="shared" si="21"/>
        <v>289972520.95320737</v>
      </c>
      <c r="AC19" s="45">
        <f t="shared" si="22"/>
        <v>11796.655492666363</v>
      </c>
      <c r="AD19" s="44">
        <f t="shared" si="23"/>
        <v>42428.90384512367</v>
      </c>
      <c r="AE19" s="45">
        <f t="shared" si="24"/>
        <v>22106302.808545429</v>
      </c>
      <c r="AF19" s="45">
        <f t="shared" si="25"/>
        <v>899.32887384565731</v>
      </c>
    </row>
    <row r="20" spans="1:32" ht="15" x14ac:dyDescent="0.25">
      <c r="A20" s="3" t="s">
        <v>85</v>
      </c>
      <c r="B20" s="37">
        <f>1/B19*1000</f>
        <v>5870.853641916131</v>
      </c>
      <c r="H20" s="34">
        <f t="shared" si="26"/>
        <v>0.5997393044860857</v>
      </c>
      <c r="I20" s="44">
        <f t="shared" si="2"/>
        <v>3018.305156015856</v>
      </c>
      <c r="J20" s="45">
        <f t="shared" si="3"/>
        <v>1380386111415517.5</v>
      </c>
      <c r="K20" s="45">
        <f t="shared" si="4"/>
        <v>56152822299.113983</v>
      </c>
      <c r="L20" s="44">
        <f t="shared" si="5"/>
        <v>9054.9154680475676</v>
      </c>
      <c r="M20" s="45">
        <f t="shared" si="6"/>
        <v>51463194813296.289</v>
      </c>
      <c r="N20" s="45">
        <f t="shared" si="7"/>
        <v>2093583554.7527792</v>
      </c>
      <c r="O20" s="44">
        <f t="shared" si="8"/>
        <v>15091.525780079279</v>
      </c>
      <c r="P20" s="45">
        <f t="shared" si="9"/>
        <v>2109426348676.1653</v>
      </c>
      <c r="Q20" s="45">
        <f t="shared" si="10"/>
        <v>85814846.625122055</v>
      </c>
      <c r="R20" s="44">
        <f t="shared" si="11"/>
        <v>21128.136092110988</v>
      </c>
      <c r="S20" s="45">
        <f t="shared" si="12"/>
        <v>88071201361.878494</v>
      </c>
      <c r="T20" s="45">
        <f t="shared" si="13"/>
        <v>3582893.6500623333</v>
      </c>
      <c r="U20" s="44">
        <f t="shared" si="14"/>
        <v>27164.746404142705</v>
      </c>
      <c r="V20" s="45">
        <f t="shared" si="15"/>
        <v>3701953895.366972</v>
      </c>
      <c r="W20" s="45">
        <f t="shared" si="16"/>
        <v>150602.46358685204</v>
      </c>
      <c r="X20" s="44">
        <f t="shared" si="17"/>
        <v>33201.356716174421</v>
      </c>
      <c r="Y20" s="45">
        <f t="shared" si="18"/>
        <v>156107832.15556893</v>
      </c>
      <c r="Z20" s="45">
        <f t="shared" si="19"/>
        <v>6350.7709064826095</v>
      </c>
      <c r="AA20" s="44">
        <f t="shared" si="20"/>
        <v>39237.967028206127</v>
      </c>
      <c r="AB20" s="45">
        <f t="shared" si="21"/>
        <v>6594676.668420705</v>
      </c>
      <c r="AC20" s="45">
        <f t="shared" si="22"/>
        <v>268.28459380837415</v>
      </c>
      <c r="AD20" s="44">
        <f t="shared" si="23"/>
        <v>45274.57734023784</v>
      </c>
      <c r="AE20" s="45">
        <f t="shared" si="24"/>
        <v>278892.75561820797</v>
      </c>
      <c r="AF20" s="45">
        <f t="shared" si="25"/>
        <v>11.345922352689927</v>
      </c>
    </row>
    <row r="21" spans="1:32" ht="15" x14ac:dyDescent="0.25">
      <c r="A21" s="3" t="s">
        <v>86</v>
      </c>
      <c r="B21" s="47">
        <v>1.84E-2</v>
      </c>
      <c r="H21" s="34">
        <f t="shared" si="26"/>
        <v>0.47979144358886855</v>
      </c>
      <c r="I21" s="44">
        <f t="shared" si="2"/>
        <v>3193.5506627204945</v>
      </c>
      <c r="J21" s="45">
        <f t="shared" si="3"/>
        <v>960352692950449.25</v>
      </c>
      <c r="K21" s="45">
        <f t="shared" si="4"/>
        <v>39066420693.250114</v>
      </c>
      <c r="L21" s="44">
        <f t="shared" si="5"/>
        <v>9580.651988161484</v>
      </c>
      <c r="M21" s="45">
        <f t="shared" si="6"/>
        <v>16732602326720.896</v>
      </c>
      <c r="N21" s="45">
        <f t="shared" si="7"/>
        <v>680702997.30029154</v>
      </c>
      <c r="O21" s="44">
        <f t="shared" si="8"/>
        <v>15967.753313602472</v>
      </c>
      <c r="P21" s="45">
        <f t="shared" si="9"/>
        <v>317876896331.04089</v>
      </c>
      <c r="Q21" s="45">
        <f t="shared" si="10"/>
        <v>12931752.955556182</v>
      </c>
      <c r="R21" s="44">
        <f t="shared" si="11"/>
        <v>22354.85463904346</v>
      </c>
      <c r="S21" s="45">
        <f t="shared" si="12"/>
        <v>6137909824.7468634</v>
      </c>
      <c r="T21" s="45">
        <f t="shared" si="13"/>
        <v>249701.27829962361</v>
      </c>
      <c r="U21" s="44">
        <f t="shared" si="14"/>
        <v>28741.955964484456</v>
      </c>
      <c r="V21" s="45">
        <f t="shared" si="15"/>
        <v>119214318.62892191</v>
      </c>
      <c r="W21" s="45">
        <f t="shared" si="16"/>
        <v>4849.8655339606075</v>
      </c>
      <c r="X21" s="44">
        <f t="shared" si="17"/>
        <v>35129.057289925448</v>
      </c>
      <c r="Y21" s="45">
        <f t="shared" si="18"/>
        <v>2321882.260901378</v>
      </c>
      <c r="Z21" s="45">
        <f t="shared" si="19"/>
        <v>94.45873301746245</v>
      </c>
      <c r="AA21" s="44">
        <f t="shared" si="20"/>
        <v>41516.158615366432</v>
      </c>
      <c r="AB21" s="45">
        <f t="shared" si="21"/>
        <v>45291.434747779917</v>
      </c>
      <c r="AC21" s="45">
        <f t="shared" si="22"/>
        <v>1.8425464627999082</v>
      </c>
      <c r="AD21" s="44">
        <f t="shared" si="23"/>
        <v>47903.259940807417</v>
      </c>
      <c r="AE21" s="45">
        <f t="shared" si="24"/>
        <v>884.29482153509616</v>
      </c>
      <c r="AF21" s="45">
        <f t="shared" si="25"/>
        <v>3.5974915225832883E-2</v>
      </c>
    </row>
    <row r="22" spans="1:32" ht="15" x14ac:dyDescent="0.25">
      <c r="A22" s="3" t="s">
        <v>87</v>
      </c>
      <c r="B22" s="47">
        <v>1.9980000000000002E-3</v>
      </c>
      <c r="H22" s="34">
        <f t="shared" si="26"/>
        <v>0.3598435826916514</v>
      </c>
      <c r="I22" s="44">
        <f t="shared" si="2"/>
        <v>3344.5871196976473</v>
      </c>
      <c r="J22" s="45">
        <f t="shared" si="3"/>
        <v>578640046106492.25</v>
      </c>
      <c r="K22" s="45">
        <f t="shared" si="4"/>
        <v>23538717356.416161</v>
      </c>
      <c r="L22" s="44">
        <f t="shared" si="5"/>
        <v>10033.761359092941</v>
      </c>
      <c r="M22" s="45">
        <f t="shared" si="6"/>
        <v>3549106804920.5151</v>
      </c>
      <c r="N22" s="45">
        <f t="shared" si="7"/>
        <v>144382222.75799754</v>
      </c>
      <c r="O22" s="44">
        <f t="shared" si="8"/>
        <v>16722.935598488235</v>
      </c>
      <c r="P22" s="45">
        <f t="shared" si="9"/>
        <v>23566862206.718758</v>
      </c>
      <c r="Q22" s="45">
        <f t="shared" si="10"/>
        <v>958739.20409150864</v>
      </c>
      <c r="R22" s="44">
        <f t="shared" si="11"/>
        <v>23412.109837883527</v>
      </c>
      <c r="S22" s="45">
        <f t="shared" si="12"/>
        <v>158767539.91285083</v>
      </c>
      <c r="T22" s="45">
        <f t="shared" si="13"/>
        <v>6458.9538825214158</v>
      </c>
      <c r="U22" s="44">
        <f t="shared" si="14"/>
        <v>30101.284077278822</v>
      </c>
      <c r="V22" s="45">
        <f t="shared" si="15"/>
        <v>1075101.4644478408</v>
      </c>
      <c r="W22" s="45">
        <f t="shared" si="16"/>
        <v>43.737191333554257</v>
      </c>
      <c r="X22" s="44">
        <f t="shared" si="17"/>
        <v>36790.458316674121</v>
      </c>
      <c r="Y22" s="45">
        <f t="shared" si="18"/>
        <v>7297.6125718280973</v>
      </c>
      <c r="Z22" s="45">
        <f t="shared" si="19"/>
        <v>0.29688130939493407</v>
      </c>
      <c r="AA22" s="44">
        <f t="shared" si="20"/>
        <v>43479.632556069409</v>
      </c>
      <c r="AB22" s="45">
        <f t="shared" si="21"/>
        <v>49.600302272757915</v>
      </c>
      <c r="AC22" s="45">
        <f t="shared" si="22"/>
        <v>2.017840357280907E-3</v>
      </c>
      <c r="AD22" s="44">
        <f t="shared" si="23"/>
        <v>50168.806795464698</v>
      </c>
      <c r="AE22" s="45">
        <f t="shared" si="24"/>
        <v>0.33739242313418094</v>
      </c>
      <c r="AF22" s="45">
        <f t="shared" si="25"/>
        <v>1.3725814303188535E-5</v>
      </c>
    </row>
    <row r="23" spans="1:32" ht="15" x14ac:dyDescent="0.25">
      <c r="A23" s="3" t="s">
        <v>88</v>
      </c>
      <c r="B23" s="47">
        <v>1.3559999999999999E-2</v>
      </c>
      <c r="H23" s="34">
        <f t="shared" si="26"/>
        <v>0.23989572179443425</v>
      </c>
      <c r="I23" s="44">
        <f t="shared" si="2"/>
        <v>3461.5228260194413</v>
      </c>
      <c r="J23" s="45">
        <f t="shared" si="3"/>
        <v>270720270988293.22</v>
      </c>
      <c r="K23" s="45">
        <f t="shared" si="4"/>
        <v>11012758471.074636</v>
      </c>
      <c r="L23" s="44">
        <f t="shared" si="5"/>
        <v>10384.568478058323</v>
      </c>
      <c r="M23" s="45">
        <f t="shared" si="6"/>
        <v>354765199903.70459</v>
      </c>
      <c r="N23" s="45">
        <f t="shared" si="7"/>
        <v>14432315.359952953</v>
      </c>
      <c r="O23" s="44">
        <f t="shared" si="8"/>
        <v>17307.614130097205</v>
      </c>
      <c r="P23" s="45">
        <f t="shared" si="9"/>
        <v>500552624.17382711</v>
      </c>
      <c r="Q23" s="45">
        <f t="shared" si="10"/>
        <v>20363.324067781134</v>
      </c>
      <c r="R23" s="44">
        <f t="shared" si="11"/>
        <v>24230.659782136085</v>
      </c>
      <c r="S23" s="45">
        <f t="shared" si="12"/>
        <v>715539.95192251704</v>
      </c>
      <c r="T23" s="45">
        <f t="shared" si="13"/>
        <v>29.109483718162519</v>
      </c>
      <c r="U23" s="44">
        <f t="shared" si="14"/>
        <v>31153.705434174972</v>
      </c>
      <c r="V23" s="45">
        <f t="shared" si="15"/>
        <v>1027.5524974519076</v>
      </c>
      <c r="W23" s="45">
        <f t="shared" si="16"/>
        <v>4.1802819108770289E-2</v>
      </c>
      <c r="X23" s="44">
        <f t="shared" si="17"/>
        <v>38076.751086213859</v>
      </c>
      <c r="Y23" s="45">
        <f t="shared" si="18"/>
        <v>1.4787560950320811</v>
      </c>
      <c r="Z23" s="45">
        <f t="shared" si="19"/>
        <v>6.015873495635599E-5</v>
      </c>
      <c r="AA23" s="44">
        <f t="shared" si="20"/>
        <v>44999.796738252735</v>
      </c>
      <c r="AB23" s="45">
        <f t="shared" si="21"/>
        <v>2.1305506308085349E-3</v>
      </c>
      <c r="AC23" s="45">
        <f t="shared" si="22"/>
        <v>8.6675113542108604E-8</v>
      </c>
      <c r="AD23" s="44">
        <f t="shared" si="23"/>
        <v>51922.842390291611</v>
      </c>
      <c r="AE23" s="45">
        <f t="shared" si="24"/>
        <v>3.071787937873286E-6</v>
      </c>
      <c r="AF23" s="45">
        <f t="shared" si="25"/>
        <v>1.2496664002051179E-10</v>
      </c>
    </row>
    <row r="24" spans="1:32" ht="15" x14ac:dyDescent="0.25">
      <c r="A24" s="3" t="s">
        <v>89</v>
      </c>
      <c r="B24" s="47">
        <v>1.2489999999999999E-3</v>
      </c>
      <c r="H24" s="34">
        <f t="shared" si="26"/>
        <v>0.11994786089721708</v>
      </c>
      <c r="I24" s="44">
        <f t="shared" si="2"/>
        <v>3535.6931974129702</v>
      </c>
      <c r="J24" s="45">
        <f t="shared" si="3"/>
        <v>69863549743461.445</v>
      </c>
      <c r="K24" s="45">
        <f t="shared" si="4"/>
        <v>2842016567.0038385</v>
      </c>
      <c r="L24" s="44">
        <f t="shared" si="5"/>
        <v>10607.079592238912</v>
      </c>
      <c r="M24" s="45">
        <f t="shared" si="6"/>
        <v>6003320326.2104321</v>
      </c>
      <c r="N24" s="45">
        <f t="shared" si="7"/>
        <v>244223.08985708261</v>
      </c>
      <c r="O24" s="44">
        <f t="shared" si="8"/>
        <v>17678.46598706485</v>
      </c>
      <c r="P24" s="45">
        <f t="shared" si="9"/>
        <v>553492.77120249963</v>
      </c>
      <c r="Q24" s="45">
        <f t="shared" si="10"/>
        <v>22.517024855948353</v>
      </c>
      <c r="R24" s="44">
        <f t="shared" si="11"/>
        <v>24749.852381890792</v>
      </c>
      <c r="S24" s="45">
        <f t="shared" si="12"/>
        <v>51.657005414631769</v>
      </c>
      <c r="T24" s="45">
        <f t="shared" si="13"/>
        <v>2.1015025925653279E-3</v>
      </c>
      <c r="U24" s="44">
        <f t="shared" si="14"/>
        <v>31821.238776716735</v>
      </c>
      <c r="V24" s="45">
        <f t="shared" si="15"/>
        <v>4.8415099472479631E-3</v>
      </c>
      <c r="W24" s="45">
        <f t="shared" si="16"/>
        <v>1.9696200152647917E-7</v>
      </c>
      <c r="X24" s="44">
        <f t="shared" si="17"/>
        <v>38892.625171542677</v>
      </c>
      <c r="Y24" s="45">
        <f t="shared" si="18"/>
        <v>4.5465181963706443E-7</v>
      </c>
      <c r="Z24" s="45">
        <f t="shared" si="19"/>
        <v>1.8496141418347047E-11</v>
      </c>
      <c r="AA24" s="44">
        <f t="shared" si="20"/>
        <v>45964.011566368616</v>
      </c>
      <c r="AB24" s="45">
        <f t="shared" si="21"/>
        <v>4.2740188108450692E-11</v>
      </c>
      <c r="AC24" s="45">
        <f t="shared" si="22"/>
        <v>1.738757581946729E-15</v>
      </c>
      <c r="AD24" s="44">
        <f t="shared" si="23"/>
        <v>53035.397961194554</v>
      </c>
      <c r="AE24" s="45">
        <f t="shared" si="24"/>
        <v>4.0204147106784592E-15</v>
      </c>
      <c r="AF24" s="45">
        <f t="shared" si="25"/>
        <v>1.6355874030266533E-19</v>
      </c>
    </row>
    <row r="25" spans="1:32" x14ac:dyDescent="0.2">
      <c r="H25" s="34"/>
      <c r="I25" s="44"/>
      <c r="J25" s="45"/>
      <c r="K25" s="45"/>
      <c r="L25" s="44"/>
      <c r="M25" s="45"/>
      <c r="N25" s="45"/>
      <c r="O25" s="44"/>
      <c r="P25" s="45"/>
      <c r="Q25" s="45"/>
      <c r="R25" s="44"/>
      <c r="S25" s="45"/>
      <c r="T25" s="45"/>
      <c r="U25" s="44"/>
      <c r="V25" s="45"/>
      <c r="W25" s="45"/>
    </row>
    <row r="27" spans="1:32" ht="15" x14ac:dyDescent="0.25">
      <c r="A27" s="3" t="s">
        <v>24</v>
      </c>
      <c r="B27" s="38">
        <f>'Create Undulator Magnet'!B18</f>
        <v>1.0705092584846654</v>
      </c>
    </row>
    <row r="28" spans="1:32" ht="15" x14ac:dyDescent="0.25">
      <c r="A28" s="3" t="s">
        <v>23</v>
      </c>
      <c r="B28" s="38">
        <f>'Create Undulator Magnet'!B12</f>
        <v>24</v>
      </c>
    </row>
    <row r="29" spans="1:32" ht="15" x14ac:dyDescent="0.25">
      <c r="A29" s="3" t="s">
        <v>25</v>
      </c>
      <c r="B29" s="38">
        <f>'Create Undulator Magnet'!B14</f>
        <v>7.5</v>
      </c>
    </row>
    <row r="30" spans="1:32" ht="15" x14ac:dyDescent="0.25">
      <c r="A30" s="3" t="s">
        <v>67</v>
      </c>
      <c r="B30" s="37">
        <f>'Create Undulator Magnet'!B23</f>
        <v>2385.1</v>
      </c>
    </row>
    <row r="31" spans="1:32" ht="15" x14ac:dyDescent="0.25">
      <c r="A31" s="3" t="s">
        <v>68</v>
      </c>
      <c r="B31" s="39">
        <f>'Create Undulator Magnet'!B13</f>
        <v>98</v>
      </c>
    </row>
    <row r="32" spans="1:32" ht="15" x14ac:dyDescent="0.25">
      <c r="A32" s="3" t="s">
        <v>69</v>
      </c>
      <c r="B32" s="37">
        <f>'Create Undulator Magnet'!B19</f>
        <v>2.3989572179443432</v>
      </c>
      <c r="C32" s="38"/>
    </row>
    <row r="34" spans="1:2" ht="15" x14ac:dyDescent="0.25">
      <c r="A34" s="3" t="s">
        <v>90</v>
      </c>
      <c r="B34" s="38">
        <f>632.8*B9^2*B27^2*B10*B31*(B28/1000)</f>
        <v>5372.7322384610334</v>
      </c>
    </row>
    <row r="35" spans="1:2" ht="15" x14ac:dyDescent="0.25">
      <c r="A35" s="35" t="s">
        <v>91</v>
      </c>
      <c r="B35" s="38">
        <f>((B28/1000)/(2*B20^2)*(1+B32^2/2))*1000000000</f>
        <v>1.3499892374111309</v>
      </c>
    </row>
  </sheetData>
  <mergeCells count="8">
    <mergeCell ref="U3:W3"/>
    <mergeCell ref="X3:Z3"/>
    <mergeCell ref="AA3:AC3"/>
    <mergeCell ref="AD3:AF3"/>
    <mergeCell ref="I3:K3"/>
    <mergeCell ref="L3:N3"/>
    <mergeCell ref="O3:Q3"/>
    <mergeCell ref="R3:T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7"/>
  <sheetViews>
    <sheetView tabSelected="1" workbookViewId="0">
      <selection activeCell="D25" sqref="D25"/>
    </sheetView>
  </sheetViews>
  <sheetFormatPr defaultRowHeight="12.75" x14ac:dyDescent="0.2"/>
  <cols>
    <col min="1" max="1" width="43" bestFit="1" customWidth="1"/>
    <col min="2" max="2" width="26.85546875" bestFit="1" customWidth="1"/>
    <col min="3" max="3" width="4.5703125" customWidth="1"/>
    <col min="4" max="4" width="24.42578125" bestFit="1" customWidth="1"/>
  </cols>
  <sheetData>
    <row r="1" spans="1:20" ht="15.75" x14ac:dyDescent="0.25">
      <c r="A1" s="1" t="s">
        <v>15</v>
      </c>
      <c r="E1" s="61" t="s">
        <v>98</v>
      </c>
      <c r="F1" s="61"/>
      <c r="G1" s="61"/>
      <c r="H1" s="61"/>
      <c r="I1" s="61"/>
      <c r="J1" s="61"/>
      <c r="K1" s="61"/>
      <c r="L1" s="52"/>
      <c r="M1" s="61" t="s">
        <v>60</v>
      </c>
      <c r="N1" s="61"/>
      <c r="O1" s="61"/>
      <c r="P1" s="61"/>
      <c r="Q1" s="61"/>
      <c r="R1" s="61"/>
      <c r="S1" s="61"/>
      <c r="T1" s="52"/>
    </row>
    <row r="2" spans="1:20" ht="15.75" x14ac:dyDescent="0.25">
      <c r="A2" s="1"/>
      <c r="E2" s="6" t="s">
        <v>42</v>
      </c>
      <c r="F2" s="6" t="s">
        <v>43</v>
      </c>
      <c r="G2" s="51" t="s">
        <v>54</v>
      </c>
      <c r="H2" s="51" t="s">
        <v>42</v>
      </c>
      <c r="I2" s="51" t="s">
        <v>43</v>
      </c>
      <c r="J2" s="51" t="s">
        <v>56</v>
      </c>
      <c r="M2" s="6"/>
      <c r="N2" s="6"/>
    </row>
    <row r="3" spans="1:20" ht="14.25" x14ac:dyDescent="0.2">
      <c r="A3" s="48" t="s">
        <v>99</v>
      </c>
      <c r="D3" s="2" t="s">
        <v>33</v>
      </c>
      <c r="E3">
        <f>B7/2*-1</f>
        <v>-4.24</v>
      </c>
      <c r="F3">
        <f>B6/2*-1</f>
        <v>-2.38</v>
      </c>
      <c r="G3" s="8">
        <f>B7/2</f>
        <v>4.24</v>
      </c>
      <c r="H3" s="8">
        <f>G3*-1</f>
        <v>-4.24</v>
      </c>
      <c r="I3" s="8">
        <f t="shared" ref="I3:I24" si="0">SQRT((1-(H3)^2/$G$3^2)*$G$5^2)</f>
        <v>0</v>
      </c>
      <c r="J3" s="8">
        <f t="shared" ref="J3:J24" si="1">-SQRT((1-(H3)^2/$G$3^2)*$G$5^2)</f>
        <v>0</v>
      </c>
      <c r="M3" s="6" t="s">
        <v>58</v>
      </c>
      <c r="N3" s="6" t="s">
        <v>42</v>
      </c>
      <c r="O3" s="6" t="s">
        <v>43</v>
      </c>
      <c r="P3" s="6" t="s">
        <v>42</v>
      </c>
      <c r="Q3" s="6" t="s">
        <v>43</v>
      </c>
    </row>
    <row r="4" spans="1:20" ht="15" x14ac:dyDescent="0.25">
      <c r="A4" s="3" t="s">
        <v>37</v>
      </c>
      <c r="B4" s="27" t="s">
        <v>34</v>
      </c>
      <c r="D4" s="5" t="s">
        <v>34</v>
      </c>
      <c r="E4">
        <f>B7/2</f>
        <v>4.24</v>
      </c>
      <c r="F4">
        <f>B6/2*-1</f>
        <v>-2.38</v>
      </c>
      <c r="G4" s="51" t="s">
        <v>55</v>
      </c>
      <c r="H4" s="8">
        <f t="shared" ref="H4:H24" si="2">H3+$G$3*2/21</f>
        <v>-3.8361904761904766</v>
      </c>
      <c r="I4" s="8">
        <f t="shared" si="0"/>
        <v>1.0136841497999045</v>
      </c>
      <c r="J4" s="8">
        <f t="shared" si="1"/>
        <v>-1.0136841497999045</v>
      </c>
      <c r="M4">
        <f>B14/7</f>
        <v>1.0714285714285714</v>
      </c>
      <c r="N4">
        <v>-2.75</v>
      </c>
      <c r="O4">
        <v>0</v>
      </c>
      <c r="P4">
        <f t="shared" ref="P4:P18" si="3">N4*$M$4</f>
        <v>-2.9464285714285712</v>
      </c>
      <c r="Q4">
        <f t="shared" ref="Q4:Q18" si="4">O4*$M$4</f>
        <v>0</v>
      </c>
    </row>
    <row r="5" spans="1:20" ht="14.25" x14ac:dyDescent="0.2">
      <c r="A5" s="24" t="s">
        <v>36</v>
      </c>
      <c r="D5" s="5" t="s">
        <v>35</v>
      </c>
      <c r="E5">
        <f>B7/2</f>
        <v>4.24</v>
      </c>
      <c r="F5">
        <f>B6/2</f>
        <v>2.38</v>
      </c>
      <c r="G5" s="8">
        <f>B6/2</f>
        <v>2.38</v>
      </c>
      <c r="H5" s="8">
        <f t="shared" si="2"/>
        <v>-3.432380952380953</v>
      </c>
      <c r="I5" s="8">
        <f t="shared" si="0"/>
        <v>1.3972671740063012</v>
      </c>
      <c r="J5" s="8">
        <f t="shared" si="1"/>
        <v>-1.3972671740063012</v>
      </c>
      <c r="N5">
        <v>2.75</v>
      </c>
      <c r="O5">
        <v>0</v>
      </c>
      <c r="P5">
        <f t="shared" si="3"/>
        <v>2.9464285714285712</v>
      </c>
      <c r="Q5">
        <f t="shared" si="4"/>
        <v>0</v>
      </c>
    </row>
    <row r="6" spans="1:20" ht="15" x14ac:dyDescent="0.25">
      <c r="A6" s="25" t="s">
        <v>40</v>
      </c>
      <c r="B6" s="26">
        <f>IF(B4=D4,ROUNDUP((-0.045*(B23/2/1000)^3+0.3642*(B23/2/1000)^2+0.0265*(B23/2/1000)+1.9042)*2,2),ROUNDUP((-0.008*(B23/2/1000)^3 + 0.1233*(B23/2/1000)^2 - 0.0051*(B23/2/1000) + 2.8442)*2,2))</f>
        <v>4.76</v>
      </c>
      <c r="D6" s="5"/>
      <c r="E6">
        <f>B7/2*-1</f>
        <v>-4.24</v>
      </c>
      <c r="F6">
        <f>B6/2</f>
        <v>2.38</v>
      </c>
      <c r="G6" s="8"/>
      <c r="H6" s="8">
        <f t="shared" si="2"/>
        <v>-3.0285714285714294</v>
      </c>
      <c r="I6" s="8">
        <f t="shared" si="0"/>
        <v>1.6656530250925607</v>
      </c>
      <c r="J6" s="8">
        <f t="shared" si="1"/>
        <v>-1.6656530250925607</v>
      </c>
      <c r="N6">
        <v>11.25</v>
      </c>
      <c r="O6">
        <v>9.5</v>
      </c>
      <c r="P6">
        <f t="shared" si="3"/>
        <v>12.053571428571429</v>
      </c>
      <c r="Q6">
        <f t="shared" si="4"/>
        <v>10.178571428571429</v>
      </c>
    </row>
    <row r="7" spans="1:20" ht="15" x14ac:dyDescent="0.25">
      <c r="A7" s="25" t="s">
        <v>41</v>
      </c>
      <c r="B7" s="26">
        <f>IF(B4=D4,ROUNDUP((-0.1034*(B23/2/1000)^3+0.7783*(B23/2/1000)^2+0.109*(B23/2/1000)+3.1763)*2,2),ROUNDUP((-0.00008*(B23/2/1000)^3 + 0.0184*(B23/2/1000)^2 - 0.00008*(B23/2/1000) + 11.542)*2,2))</f>
        <v>8.48</v>
      </c>
      <c r="D7" s="2" t="s">
        <v>5</v>
      </c>
      <c r="E7">
        <f>B7/2*-1</f>
        <v>-4.24</v>
      </c>
      <c r="F7">
        <f>B6/2*-1</f>
        <v>-2.38</v>
      </c>
      <c r="G7" s="8"/>
      <c r="H7" s="8">
        <f t="shared" si="2"/>
        <v>-2.6247619047619057</v>
      </c>
      <c r="I7" s="8">
        <f t="shared" si="0"/>
        <v>1.8691412169466723</v>
      </c>
      <c r="J7" s="8">
        <f t="shared" si="1"/>
        <v>-1.8691412169466723</v>
      </c>
      <c r="N7">
        <f>N6</f>
        <v>11.25</v>
      </c>
      <c r="O7">
        <v>15.75</v>
      </c>
      <c r="P7">
        <f t="shared" si="3"/>
        <v>12.053571428571429</v>
      </c>
      <c r="Q7">
        <f t="shared" si="4"/>
        <v>16.875</v>
      </c>
    </row>
    <row r="8" spans="1:20" x14ac:dyDescent="0.2">
      <c r="D8" s="5" t="s">
        <v>0</v>
      </c>
      <c r="G8" s="8"/>
      <c r="H8" s="8">
        <f t="shared" si="2"/>
        <v>-2.2209523809523821</v>
      </c>
      <c r="I8" s="8">
        <f t="shared" si="0"/>
        <v>2.027368299599809</v>
      </c>
      <c r="J8" s="8">
        <f t="shared" si="1"/>
        <v>-2.027368299599809</v>
      </c>
      <c r="N8">
        <f>N7-2.75</f>
        <v>8.5</v>
      </c>
      <c r="O8">
        <v>18.5</v>
      </c>
      <c r="P8">
        <f t="shared" si="3"/>
        <v>9.1071428571428577</v>
      </c>
      <c r="Q8">
        <f t="shared" si="4"/>
        <v>19.821428571428569</v>
      </c>
    </row>
    <row r="9" spans="1:20" ht="15" x14ac:dyDescent="0.25">
      <c r="A9" s="3" t="s">
        <v>16</v>
      </c>
      <c r="B9" s="27" t="s">
        <v>2</v>
      </c>
      <c r="D9" s="5" t="s">
        <v>1</v>
      </c>
      <c r="E9" s="6" t="s">
        <v>44</v>
      </c>
      <c r="F9" s="6" t="s">
        <v>45</v>
      </c>
      <c r="G9" s="8"/>
      <c r="H9" s="8">
        <f t="shared" si="2"/>
        <v>-1.8171428571428583</v>
      </c>
      <c r="I9" s="8">
        <f t="shared" si="0"/>
        <v>2.1503488089144978</v>
      </c>
      <c r="J9" s="8">
        <f t="shared" si="1"/>
        <v>-2.1503488089144978</v>
      </c>
      <c r="N9">
        <f>N8+2.75</f>
        <v>11.25</v>
      </c>
      <c r="O9">
        <v>21.25</v>
      </c>
      <c r="P9">
        <f t="shared" si="3"/>
        <v>12.053571428571429</v>
      </c>
      <c r="Q9">
        <f t="shared" si="4"/>
        <v>22.767857142857142</v>
      </c>
    </row>
    <row r="10" spans="1:20" ht="15" x14ac:dyDescent="0.25">
      <c r="A10" s="3"/>
      <c r="B10" s="4"/>
      <c r="D10" s="5" t="s">
        <v>2</v>
      </c>
      <c r="E10">
        <f>B14</f>
        <v>7.5</v>
      </c>
      <c r="F10">
        <f>5.5/7*B14</f>
        <v>5.8928571428571423</v>
      </c>
      <c r="G10" s="8"/>
      <c r="H10" s="8">
        <f t="shared" si="2"/>
        <v>-1.4133333333333344</v>
      </c>
      <c r="I10" s="8">
        <f t="shared" si="0"/>
        <v>2.2438855189653104</v>
      </c>
      <c r="J10" s="8">
        <f t="shared" si="1"/>
        <v>-2.2438855189653104</v>
      </c>
      <c r="N10">
        <f>N9</f>
        <v>11.25</v>
      </c>
      <c r="O10">
        <v>24.5</v>
      </c>
      <c r="P10">
        <f t="shared" si="3"/>
        <v>12.053571428571429</v>
      </c>
      <c r="Q10">
        <f t="shared" si="4"/>
        <v>26.25</v>
      </c>
    </row>
    <row r="11" spans="1:20" ht="14.25" x14ac:dyDescent="0.2">
      <c r="A11" s="48" t="s">
        <v>100</v>
      </c>
      <c r="D11" s="5" t="s">
        <v>3</v>
      </c>
      <c r="E11" s="6" t="s">
        <v>46</v>
      </c>
      <c r="F11" s="6" t="s">
        <v>47</v>
      </c>
      <c r="G11" s="8"/>
      <c r="H11" s="8">
        <f t="shared" si="2"/>
        <v>-1.0095238095238106</v>
      </c>
      <c r="I11" s="8">
        <f t="shared" si="0"/>
        <v>2.3115555128287291</v>
      </c>
      <c r="J11" s="8">
        <f t="shared" si="1"/>
        <v>-2.3115555128287291</v>
      </c>
      <c r="N11">
        <f>N10-0.5</f>
        <v>10.75</v>
      </c>
      <c r="O11">
        <v>25</v>
      </c>
      <c r="P11">
        <f t="shared" si="3"/>
        <v>11.517857142857142</v>
      </c>
      <c r="Q11">
        <f t="shared" si="4"/>
        <v>26.785714285714285</v>
      </c>
    </row>
    <row r="12" spans="1:20" ht="15" x14ac:dyDescent="0.25">
      <c r="A12" s="3" t="s">
        <v>7</v>
      </c>
      <c r="B12" s="4">
        <v>24</v>
      </c>
      <c r="D12" s="5" t="s">
        <v>4</v>
      </c>
      <c r="E12" s="7">
        <f>(E10/2)*COS(RADIANS(-45))+(-F10/2)*SIN(RADIANS(-45))</f>
        <v>4.7350900525884878</v>
      </c>
      <c r="F12" s="7">
        <f>-(E10/2)*SIN(RADIANS(-45))+(-F10)/2*COS(RADIANS(-45))</f>
        <v>0.56821080631061838</v>
      </c>
      <c r="G12" s="8"/>
      <c r="H12" s="8">
        <f t="shared" si="2"/>
        <v>-0.60571428571428676</v>
      </c>
      <c r="I12" s="8">
        <f t="shared" si="0"/>
        <v>2.3555890982936729</v>
      </c>
      <c r="J12" s="8">
        <f t="shared" si="1"/>
        <v>-2.3555890982936729</v>
      </c>
      <c r="N12">
        <f>-1*N11+0.5</f>
        <v>-10.25</v>
      </c>
      <c r="O12">
        <v>25</v>
      </c>
      <c r="P12">
        <f t="shared" si="3"/>
        <v>-10.982142857142858</v>
      </c>
      <c r="Q12">
        <f t="shared" si="4"/>
        <v>26.785714285714285</v>
      </c>
    </row>
    <row r="13" spans="1:20" ht="15" x14ac:dyDescent="0.25">
      <c r="A13" s="3" t="s">
        <v>8</v>
      </c>
      <c r="B13" s="4">
        <v>98</v>
      </c>
      <c r="C13" s="6"/>
      <c r="E13" s="7">
        <f>(E10/2)*COS(RADIANS(-45))+(F10/2)*SIN(RADIANS(-45))</f>
        <v>0.56821080631061882</v>
      </c>
      <c r="F13" s="7">
        <f>-(E10/2)*SIN(RADIANS(-45))+(F10/2)*COS(RADIANS(-45))</f>
        <v>4.7350900525884878</v>
      </c>
      <c r="G13" s="8"/>
      <c r="H13" s="8">
        <f t="shared" si="2"/>
        <v>-0.20190476190476292</v>
      </c>
      <c r="I13" s="8">
        <f t="shared" si="0"/>
        <v>2.3773000558523432</v>
      </c>
      <c r="J13" s="8">
        <f t="shared" si="1"/>
        <v>-2.3773000558523432</v>
      </c>
      <c r="N13">
        <f>N12-0.5</f>
        <v>-10.75</v>
      </c>
      <c r="O13">
        <v>24.5</v>
      </c>
      <c r="P13">
        <f t="shared" si="3"/>
        <v>-11.517857142857142</v>
      </c>
      <c r="Q13">
        <f t="shared" si="4"/>
        <v>26.25</v>
      </c>
    </row>
    <row r="14" spans="1:20" ht="15" x14ac:dyDescent="0.25">
      <c r="A14" s="3" t="s">
        <v>9</v>
      </c>
      <c r="B14" s="4">
        <v>7.5</v>
      </c>
      <c r="D14" s="2" t="s">
        <v>6</v>
      </c>
      <c r="E14" s="28" t="s">
        <v>48</v>
      </c>
      <c r="F14" s="28" t="s">
        <v>49</v>
      </c>
      <c r="G14" s="8"/>
      <c r="H14" s="8">
        <f t="shared" si="2"/>
        <v>0.20190476190476092</v>
      </c>
      <c r="I14" s="8">
        <f t="shared" si="0"/>
        <v>2.3773000558523436</v>
      </c>
      <c r="J14" s="8">
        <f t="shared" si="1"/>
        <v>-2.3773000558523436</v>
      </c>
      <c r="N14">
        <f>N13</f>
        <v>-10.75</v>
      </c>
      <c r="O14">
        <v>21.25</v>
      </c>
      <c r="P14">
        <f t="shared" si="3"/>
        <v>-11.517857142857142</v>
      </c>
      <c r="Q14">
        <f t="shared" si="4"/>
        <v>22.767857142857142</v>
      </c>
    </row>
    <row r="15" spans="1:20" ht="15" x14ac:dyDescent="0.25">
      <c r="A15" s="3" t="s">
        <v>10</v>
      </c>
      <c r="B15" s="4">
        <v>0.1</v>
      </c>
      <c r="D15" s="5" t="s">
        <v>19</v>
      </c>
      <c r="E15" s="7">
        <f>(-E10/2)*COS(RADIANS(45))+(-F10/2)*SIN(RADIANS(45))</f>
        <v>-4.7350900525884878</v>
      </c>
      <c r="F15" s="7">
        <f>-(E10/2)*SIN(RADIANS(-45))+(-F10)/2*COS(RADIANS(-45))</f>
        <v>0.56821080631061838</v>
      </c>
      <c r="G15" s="8"/>
      <c r="H15" s="8">
        <f t="shared" si="2"/>
        <v>0.60571428571428476</v>
      </c>
      <c r="I15" s="8">
        <f t="shared" si="0"/>
        <v>2.3555890982936729</v>
      </c>
      <c r="J15" s="8">
        <f t="shared" si="1"/>
        <v>-2.3555890982936729</v>
      </c>
      <c r="N15">
        <f>N14+2.75</f>
        <v>-8</v>
      </c>
      <c r="O15">
        <v>18.5</v>
      </c>
      <c r="P15">
        <f t="shared" si="3"/>
        <v>-8.5714285714285712</v>
      </c>
      <c r="Q15">
        <f t="shared" si="4"/>
        <v>19.821428571428569</v>
      </c>
    </row>
    <row r="16" spans="1:20" ht="15" x14ac:dyDescent="0.25">
      <c r="A16" s="3" t="s">
        <v>94</v>
      </c>
      <c r="B16" s="36">
        <f>(1.96*EXP((-0.82*(B14/B12)+-3.31*(B14/B12)^2)))</f>
        <v>1.097958213830426</v>
      </c>
      <c r="C16" s="6"/>
      <c r="E16" s="7">
        <f>(-E10/2)*COS(RADIANS(45))+(F10/2)*SIN(RADIANS(45))</f>
        <v>-0.56821080631061882</v>
      </c>
      <c r="F16" s="7">
        <f>-(E10/2)*SIN(RADIANS(-45))+(F10/2)*COS(RADIANS(-45))</f>
        <v>4.7350900525884878</v>
      </c>
      <c r="G16" s="8"/>
      <c r="H16" s="8">
        <f t="shared" si="2"/>
        <v>1.0095238095238086</v>
      </c>
      <c r="I16" s="8">
        <f t="shared" si="0"/>
        <v>2.3115555128287291</v>
      </c>
      <c r="J16" s="8">
        <f t="shared" si="1"/>
        <v>-2.3115555128287291</v>
      </c>
      <c r="N16">
        <f>N15-2.75</f>
        <v>-10.75</v>
      </c>
      <c r="O16">
        <v>15.75</v>
      </c>
      <c r="P16">
        <f t="shared" si="3"/>
        <v>-11.517857142857142</v>
      </c>
      <c r="Q16">
        <f t="shared" si="4"/>
        <v>16.875</v>
      </c>
    </row>
    <row r="17" spans="1:17" ht="15" x14ac:dyDescent="0.25">
      <c r="A17" s="3" t="s">
        <v>95</v>
      </c>
      <c r="B17" s="46">
        <v>0.97499999999999998</v>
      </c>
      <c r="E17" s="28" t="s">
        <v>50</v>
      </c>
      <c r="F17" s="28" t="s">
        <v>51</v>
      </c>
      <c r="G17" s="8"/>
      <c r="H17" s="8">
        <f t="shared" si="2"/>
        <v>1.4133333333333324</v>
      </c>
      <c r="I17" s="8">
        <f t="shared" si="0"/>
        <v>2.2438855189653109</v>
      </c>
      <c r="J17" s="8">
        <f t="shared" si="1"/>
        <v>-2.2438855189653109</v>
      </c>
      <c r="N17">
        <f>N16</f>
        <v>-10.75</v>
      </c>
      <c r="O17">
        <v>9.5</v>
      </c>
      <c r="P17">
        <f t="shared" si="3"/>
        <v>-11.517857142857142</v>
      </c>
      <c r="Q17">
        <f t="shared" si="4"/>
        <v>10.178571428571429</v>
      </c>
    </row>
    <row r="18" spans="1:17" ht="15" x14ac:dyDescent="0.25">
      <c r="A18" s="3" t="s">
        <v>96</v>
      </c>
      <c r="B18" s="36">
        <f>B16*B17</f>
        <v>1.0705092584846654</v>
      </c>
      <c r="E18" s="7">
        <f>(E10/2)*COS(RADIANS(45))+(-F10/2)*SIN(RADIANS(45))</f>
        <v>0.56821080631061882</v>
      </c>
      <c r="F18" s="7">
        <f>-(E10/2)*SIN(RADIANS(45))+(-F10)/2*COS(RADIANS(45))</f>
        <v>-4.7350900525884878</v>
      </c>
      <c r="G18" s="8"/>
      <c r="H18" s="8">
        <f t="shared" si="2"/>
        <v>1.8171428571428563</v>
      </c>
      <c r="I18" s="8">
        <f t="shared" si="0"/>
        <v>2.1503488089144982</v>
      </c>
      <c r="J18" s="8">
        <f t="shared" si="1"/>
        <v>-2.1503488089144982</v>
      </c>
      <c r="N18">
        <v>-2.75</v>
      </c>
      <c r="O18">
        <v>0</v>
      </c>
      <c r="P18">
        <f t="shared" si="3"/>
        <v>-2.9464285714285712</v>
      </c>
      <c r="Q18">
        <f t="shared" si="4"/>
        <v>0</v>
      </c>
    </row>
    <row r="19" spans="1:17" ht="15" x14ac:dyDescent="0.2">
      <c r="A19" s="49" t="s">
        <v>69</v>
      </c>
      <c r="B19" s="50">
        <f>((B18*ABS('Electron beam and constants'!B4))/('Electron beam and constants'!B5*'Electron beam and constants'!B6))*((B12/1000)/(2*PI()))</f>
        <v>2.3989572179443432</v>
      </c>
      <c r="E19" s="7">
        <f>(E10/2)*COS(RADIANS(45))+(F10/2)*SIN(RADIANS(45))</f>
        <v>4.7350900525884878</v>
      </c>
      <c r="F19" s="7">
        <f>-(E10/2)*SIN(RADIANS(45))+(F10/2)*COS(RADIANS(45))</f>
        <v>-0.56821080631061838</v>
      </c>
      <c r="G19" s="8"/>
      <c r="H19" s="8">
        <f t="shared" si="2"/>
        <v>2.2209523809523803</v>
      </c>
      <c r="I19" s="8">
        <f t="shared" si="0"/>
        <v>2.0273682995998095</v>
      </c>
      <c r="J19" s="8">
        <f t="shared" si="1"/>
        <v>-2.0273682995998095</v>
      </c>
    </row>
    <row r="20" spans="1:17" ht="15" x14ac:dyDescent="0.25">
      <c r="A20" s="3" t="s">
        <v>97</v>
      </c>
      <c r="B20" s="37">
        <f>'Electron beam and constants'!E5</f>
        <v>918.40877644840486</v>
      </c>
      <c r="C20" s="4"/>
      <c r="D20" s="5"/>
      <c r="E20" s="28" t="s">
        <v>52</v>
      </c>
      <c r="F20" s="28" t="s">
        <v>53</v>
      </c>
      <c r="G20" s="8"/>
      <c r="H20" s="8">
        <f t="shared" si="2"/>
        <v>2.624761904761904</v>
      </c>
      <c r="I20" s="8">
        <f t="shared" si="0"/>
        <v>1.8691412169466732</v>
      </c>
      <c r="J20" s="8">
        <f t="shared" si="1"/>
        <v>-1.8691412169466732</v>
      </c>
    </row>
    <row r="21" spans="1:17" ht="15" x14ac:dyDescent="0.25">
      <c r="A21" s="3" t="s">
        <v>90</v>
      </c>
      <c r="B21" s="38">
        <f>'Electron beam and constants'!B34</f>
        <v>5372.7322384610334</v>
      </c>
      <c r="C21" s="4"/>
      <c r="E21" s="7">
        <f>(-E10/2)*COS(RADIANS(45))+(-F10/2)*SIN(RADIANS(45))</f>
        <v>-4.7350900525884878</v>
      </c>
      <c r="F21" s="7">
        <f>-(E10/2)*SIN(RADIANS(45))+(F10/2)*COS(RADIANS(45))</f>
        <v>-0.56821080631061838</v>
      </c>
      <c r="G21" s="8"/>
      <c r="H21" s="8">
        <f t="shared" si="2"/>
        <v>3.0285714285714276</v>
      </c>
      <c r="I21" s="8">
        <f t="shared" si="0"/>
        <v>1.6656530250925616</v>
      </c>
      <c r="J21" s="8">
        <f t="shared" si="1"/>
        <v>-1.6656530250925616</v>
      </c>
    </row>
    <row r="22" spans="1:17" ht="15" x14ac:dyDescent="0.25">
      <c r="A22" s="35" t="s">
        <v>91</v>
      </c>
      <c r="B22" s="38">
        <f>'Electron beam and constants'!B35</f>
        <v>1.3499892374111309</v>
      </c>
      <c r="C22" s="4"/>
      <c r="E22" s="7">
        <f>(-E10/2)*COS(RADIANS(45))+(F10/2)*SIN(RADIANS(45))</f>
        <v>-0.56821080631061882</v>
      </c>
      <c r="F22" s="7">
        <f>-(E10/2)*SIN(RADIANS(45))+(-F10/2)*COS(RADIANS(45))</f>
        <v>-4.7350900525884878</v>
      </c>
      <c r="G22" s="8"/>
      <c r="H22" s="8">
        <f t="shared" si="2"/>
        <v>3.4323809523809512</v>
      </c>
      <c r="I22" s="8">
        <f t="shared" si="0"/>
        <v>1.3972671740063025</v>
      </c>
      <c r="J22" s="8">
        <f t="shared" si="1"/>
        <v>-1.3972671740063025</v>
      </c>
    </row>
    <row r="23" spans="1:17" ht="15" x14ac:dyDescent="0.25">
      <c r="A23" s="3" t="s">
        <v>39</v>
      </c>
      <c r="B23" s="26">
        <f>(11/8)*B12+B13*B12 + B15</f>
        <v>2385.1</v>
      </c>
      <c r="C23" s="4"/>
      <c r="G23" s="8"/>
      <c r="H23" s="8">
        <f t="shared" si="2"/>
        <v>3.8361904761904748</v>
      </c>
      <c r="I23" s="8">
        <f t="shared" si="0"/>
        <v>1.0136841497999067</v>
      </c>
      <c r="J23" s="8">
        <f t="shared" si="1"/>
        <v>-1.0136841497999067</v>
      </c>
    </row>
    <row r="24" spans="1:17" ht="15" x14ac:dyDescent="0.25">
      <c r="C24" s="4"/>
      <c r="D24" s="5"/>
      <c r="G24" s="8"/>
      <c r="H24" s="8">
        <f t="shared" si="2"/>
        <v>4.2399999999999984</v>
      </c>
      <c r="I24" s="8">
        <f t="shared" si="0"/>
        <v>6.6348497424438452E-8</v>
      </c>
      <c r="J24" s="8">
        <f t="shared" si="1"/>
        <v>-6.6348497424438452E-8</v>
      </c>
    </row>
    <row r="25" spans="1:17" ht="15" x14ac:dyDescent="0.25">
      <c r="A25" s="48" t="s">
        <v>101</v>
      </c>
      <c r="C25" s="4"/>
    </row>
    <row r="26" spans="1:17" ht="15" x14ac:dyDescent="0.25">
      <c r="A26" s="3" t="s">
        <v>17</v>
      </c>
      <c r="B26" s="27" t="s">
        <v>19</v>
      </c>
      <c r="C26" s="4"/>
    </row>
    <row r="27" spans="1:17" ht="15" x14ac:dyDescent="0.25">
      <c r="A27" s="3" t="s">
        <v>18</v>
      </c>
      <c r="B27" s="4">
        <v>5</v>
      </c>
    </row>
    <row r="28" spans="1:17" ht="15" x14ac:dyDescent="0.25">
      <c r="A28" s="3"/>
      <c r="B28" s="4"/>
      <c r="H28" s="6"/>
    </row>
    <row r="29" spans="1:17" ht="15" x14ac:dyDescent="0.25">
      <c r="A29" s="3" t="s">
        <v>11</v>
      </c>
      <c r="B29" s="4">
        <v>150</v>
      </c>
      <c r="H29" s="6"/>
    </row>
    <row r="30" spans="1:17" ht="15" x14ac:dyDescent="0.25">
      <c r="A30" s="3" t="s">
        <v>12</v>
      </c>
      <c r="B30" s="4">
        <v>300</v>
      </c>
    </row>
    <row r="31" spans="1:17" ht="15" x14ac:dyDescent="0.25">
      <c r="A31" s="3"/>
      <c r="B31" s="4"/>
    </row>
    <row r="32" spans="1:17" ht="15" x14ac:dyDescent="0.25">
      <c r="A32" s="3" t="s">
        <v>21</v>
      </c>
      <c r="B32" s="4">
        <v>20</v>
      </c>
    </row>
    <row r="33" spans="1:2" ht="15" x14ac:dyDescent="0.25">
      <c r="A33" s="3" t="s">
        <v>22</v>
      </c>
      <c r="B33" s="4">
        <v>1</v>
      </c>
    </row>
    <row r="34" spans="1:2" ht="15" x14ac:dyDescent="0.25">
      <c r="A34" s="3" t="s">
        <v>13</v>
      </c>
      <c r="B34" s="4">
        <v>300</v>
      </c>
    </row>
    <row r="35" spans="1:2" ht="15" x14ac:dyDescent="0.25">
      <c r="A35" s="3" t="s">
        <v>14</v>
      </c>
      <c r="B35" s="4">
        <v>1</v>
      </c>
    </row>
    <row r="37" spans="1:2" ht="15" x14ac:dyDescent="0.25">
      <c r="A37" s="3" t="s">
        <v>20</v>
      </c>
      <c r="B37" s="4">
        <v>2</v>
      </c>
    </row>
  </sheetData>
  <mergeCells count="2">
    <mergeCell ref="E1:K1"/>
    <mergeCell ref="M1:S1"/>
  </mergeCells>
  <phoneticPr fontId="3" type="noConversion"/>
  <dataValidations count="3">
    <dataValidation type="list" allowBlank="1" showInputMessage="1" showErrorMessage="1" sqref="B26" xr:uid="{00000000-0002-0000-0000-000001000000}">
      <formula1>$D$15:$D$24</formula1>
    </dataValidation>
    <dataValidation type="list" allowBlank="1" showInputMessage="1" showErrorMessage="1" sqref="B9" xr:uid="{00000000-0002-0000-0000-000000000000}">
      <formula1>$D$8:$D$12</formula1>
    </dataValidation>
    <dataValidation type="list" allowBlank="1" showInputMessage="1" showErrorMessage="1" sqref="B4" xr:uid="{56BEB450-02DD-4DB9-9F8E-EECB8F3FBD54}">
      <formula1>$D$4:$D$5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Beam Stay Clear</vt:lpstr>
      <vt:lpstr>Electron beam and constants</vt:lpstr>
      <vt:lpstr>Create Undulator Magnet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James Francisco Citadini</cp:lastModifiedBy>
  <dcterms:created xsi:type="dcterms:W3CDTF">2002-07-23T21:00:28Z</dcterms:created>
  <dcterms:modified xsi:type="dcterms:W3CDTF">2019-06-02T23:49:25Z</dcterms:modified>
</cp:coreProperties>
</file>