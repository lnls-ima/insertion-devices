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rq\Work_At_LNLS\eclipse-workspace\insertion-devices\magnet\"/>
    </mc:Choice>
  </mc:AlternateContent>
  <xr:revisionPtr revIDLastSave="0" documentId="13_ncr:1_{C28B3008-C9CD-4FA1-898D-335A326AECB8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Beam Stay Clear" sheetId="3" r:id="rId1"/>
    <sheet name="Create Undulator Magnet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" l="1"/>
  <c r="H12" i="1"/>
  <c r="J12" i="1" s="1"/>
  <c r="G12" i="1"/>
  <c r="I12" i="1" s="1"/>
  <c r="J11" i="1"/>
  <c r="I11" i="1"/>
  <c r="H20" i="1" l="1"/>
  <c r="J20" i="1" s="1"/>
  <c r="G20" i="1"/>
  <c r="I20" i="1" s="1"/>
  <c r="H19" i="1"/>
  <c r="J19" i="1" s="1"/>
  <c r="G19" i="1"/>
  <c r="I19" i="1" s="1"/>
  <c r="H18" i="1"/>
  <c r="J18" i="1" s="1"/>
  <c r="G18" i="1"/>
  <c r="I18" i="1" s="1"/>
  <c r="H17" i="1"/>
  <c r="J17" i="1" s="1"/>
  <c r="G17" i="1"/>
  <c r="I17" i="1" s="1"/>
  <c r="H16" i="1"/>
  <c r="J16" i="1" s="1"/>
  <c r="G16" i="1"/>
  <c r="I16" i="1" s="1"/>
  <c r="H15" i="1"/>
  <c r="J15" i="1" s="1"/>
  <c r="G15" i="1"/>
  <c r="I15" i="1" s="1"/>
  <c r="H14" i="1"/>
  <c r="J14" i="1" s="1"/>
  <c r="G14" i="1"/>
  <c r="I14" i="1" s="1"/>
  <c r="H13" i="1"/>
  <c r="J13" i="1" s="1"/>
  <c r="G13" i="1"/>
  <c r="I13" i="1" s="1"/>
  <c r="I2" i="1" l="1"/>
  <c r="J5" i="1" l="1"/>
  <c r="M10" i="1"/>
  <c r="L10" i="1"/>
  <c r="O5" i="3"/>
  <c r="O4" i="3"/>
  <c r="E5" i="3"/>
  <c r="E4" i="3"/>
  <c r="I7" i="1" l="1"/>
  <c r="I5" i="1"/>
  <c r="J8" i="1"/>
  <c r="I4" i="1"/>
  <c r="J10" i="1"/>
  <c r="J6" i="1"/>
  <c r="I6" i="1"/>
  <c r="J4" i="1"/>
  <c r="J9" i="1"/>
  <c r="J7" i="1"/>
  <c r="M22" i="1"/>
  <c r="L12" i="1"/>
  <c r="M15" i="1"/>
  <c r="L18" i="1"/>
  <c r="L21" i="1"/>
  <c r="M21" i="1"/>
  <c r="M12" i="1"/>
  <c r="L15" i="1"/>
  <c r="M18" i="1"/>
  <c r="L13" i="1"/>
  <c r="M13" i="1"/>
  <c r="M16" i="1"/>
  <c r="L16" i="1"/>
  <c r="L19" i="1"/>
  <c r="M19" i="1"/>
  <c r="L22" i="1"/>
  <c r="I8" i="1" l="1"/>
  <c r="I9" i="1"/>
  <c r="I10" i="1" l="1"/>
  <c r="B6" i="1" l="1"/>
  <c r="N5" i="1" s="1"/>
  <c r="B7" i="1"/>
  <c r="N3" i="1" s="1"/>
  <c r="O3" i="1" s="1"/>
  <c r="P3" i="1" l="1"/>
  <c r="M3" i="1"/>
  <c r="M5" i="1"/>
  <c r="M4" i="1"/>
  <c r="M7" i="1"/>
  <c r="M6" i="1"/>
  <c r="Q3" i="1"/>
  <c r="O4" i="1"/>
  <c r="L7" i="1"/>
  <c r="L5" i="1"/>
  <c r="L3" i="1"/>
  <c r="L6" i="1"/>
  <c r="L4" i="1"/>
  <c r="Q4" i="1" l="1"/>
  <c r="P4" i="1"/>
  <c r="O5" i="1"/>
  <c r="P5" i="1" l="1"/>
  <c r="Q5" i="1"/>
  <c r="O6" i="1"/>
  <c r="Q6" i="1" l="1"/>
  <c r="P6" i="1"/>
  <c r="O7" i="1"/>
  <c r="P7" i="1" s="1"/>
  <c r="Q7" i="1" l="1"/>
  <c r="O8" i="1"/>
  <c r="Q8" i="1" l="1"/>
  <c r="P8" i="1"/>
  <c r="O9" i="1"/>
  <c r="P9" i="1" l="1"/>
  <c r="Q9" i="1"/>
  <c r="O10" i="1"/>
  <c r="Q10" i="1" l="1"/>
  <c r="P10" i="1"/>
  <c r="O11" i="1"/>
  <c r="P11" i="1" l="1"/>
  <c r="Q11" i="1"/>
  <c r="O12" i="1"/>
  <c r="Q12" i="1" l="1"/>
  <c r="P12" i="1"/>
  <c r="O13" i="1"/>
  <c r="P13" i="1" l="1"/>
  <c r="Q13" i="1"/>
  <c r="O14" i="1"/>
  <c r="Q14" i="1" l="1"/>
  <c r="P14" i="1"/>
  <c r="O15" i="1"/>
  <c r="P15" i="1" l="1"/>
  <c r="Q15" i="1"/>
  <c r="O16" i="1"/>
  <c r="Q16" i="1" l="1"/>
  <c r="P16" i="1"/>
  <c r="O17" i="1"/>
  <c r="P17" i="1" l="1"/>
  <c r="Q17" i="1"/>
  <c r="O18" i="1"/>
  <c r="Q18" i="1" l="1"/>
  <c r="P18" i="1"/>
  <c r="O19" i="1"/>
  <c r="P19" i="1" l="1"/>
  <c r="Q19" i="1"/>
  <c r="O20" i="1"/>
  <c r="Q20" i="1" l="1"/>
  <c r="P20" i="1"/>
  <c r="O21" i="1"/>
  <c r="P21" i="1" l="1"/>
  <c r="Q21" i="1"/>
  <c r="O22" i="1"/>
  <c r="Q22" i="1" l="1"/>
  <c r="P22" i="1"/>
  <c r="O23" i="1"/>
  <c r="P23" i="1" l="1"/>
  <c r="Q23" i="1"/>
  <c r="O24" i="1"/>
  <c r="Q24" i="1" l="1"/>
  <c r="P24" i="1"/>
</calcChain>
</file>

<file path=xl/sharedStrings.xml><?xml version="1.0" encoding="utf-8"?>
<sst xmlns="http://schemas.openxmlformats.org/spreadsheetml/2006/main" count="102" uniqueCount="85">
  <si>
    <t>length list</t>
  </si>
  <si>
    <t>material list</t>
  </si>
  <si>
    <t>period</t>
  </si>
  <si>
    <t>nr periods</t>
  </si>
  <si>
    <t>gap</t>
  </si>
  <si>
    <t>block gap</t>
  </si>
  <si>
    <t>Create Delta Model</t>
  </si>
  <si>
    <r>
      <t xml:space="preserve">length unit </t>
    </r>
    <r>
      <rPr>
        <i/>
        <sz val="11"/>
        <rFont val="Arial"/>
        <family val="2"/>
      </rPr>
      <t>(please select from list)</t>
    </r>
  </si>
  <si>
    <r>
      <t xml:space="preserve">magnet material </t>
    </r>
    <r>
      <rPr>
        <i/>
        <sz val="11"/>
        <rFont val="Arial"/>
        <family val="2"/>
      </rPr>
      <t>(please select from list)</t>
    </r>
  </si>
  <si>
    <t>model mesh</t>
  </si>
  <si>
    <t>Vacodym 764AP Br=1.37T</t>
  </si>
  <si>
    <t>pos[m]</t>
  </si>
  <si>
    <t>BSCH [mm]</t>
  </si>
  <si>
    <t>BSCV[mm]</t>
  </si>
  <si>
    <t>Beam Stay Clear - Low Beta</t>
  </si>
  <si>
    <t xml:space="preserve">ID Length [mm] = </t>
  </si>
  <si>
    <t>Horizontal Gap [mm] =</t>
  </si>
  <si>
    <t>Vertical Gap [mm] =</t>
  </si>
  <si>
    <t>low beta</t>
  </si>
  <si>
    <t>high beta</t>
  </si>
  <si>
    <t xml:space="preserve">beam stay clear </t>
  </si>
  <si>
    <t>straight section type (please select from list)</t>
  </si>
  <si>
    <t>Beam Stay Clear - High Beta</t>
  </si>
  <si>
    <t>vertical [mm]</t>
  </si>
  <si>
    <t>horizontal [mm]</t>
  </si>
  <si>
    <t>x</t>
  </si>
  <si>
    <t>y</t>
  </si>
  <si>
    <t>side</t>
  </si>
  <si>
    <t>x1</t>
  </si>
  <si>
    <t>y1</t>
  </si>
  <si>
    <t>x2</t>
  </si>
  <si>
    <t>y2</t>
  </si>
  <si>
    <t>x3</t>
  </si>
  <si>
    <t>y3</t>
  </si>
  <si>
    <t>x4</t>
  </si>
  <si>
    <t>y4</t>
  </si>
  <si>
    <t>a</t>
  </si>
  <si>
    <t>b</t>
  </si>
  <si>
    <t>yn</t>
  </si>
  <si>
    <t>Magnet Block Representation</t>
  </si>
  <si>
    <t>main parameters</t>
  </si>
  <si>
    <t>undulator parameters</t>
  </si>
  <si>
    <t>yp</t>
  </si>
  <si>
    <t>Scale</t>
  </si>
  <si>
    <t>Vacodym 764AP Br=1.28T</t>
  </si>
  <si>
    <t>Vacodym 764AP Br=1.31T</t>
  </si>
  <si>
    <t>inches</t>
  </si>
  <si>
    <t>meters</t>
  </si>
  <si>
    <t>centimeters</t>
  </si>
  <si>
    <t>millimeters</t>
  </si>
  <si>
    <t>microns</t>
  </si>
  <si>
    <t>Beam Stay Clear and Magnet Limits</t>
  </si>
  <si>
    <t>total length [mm]</t>
  </si>
  <si>
    <t>dxf filepath</t>
  </si>
  <si>
    <t>block shape</t>
  </si>
  <si>
    <t>excel</t>
  </si>
  <si>
    <t>dxf</t>
  </si>
  <si>
    <t>add termination list</t>
  </si>
  <si>
    <t>yes</t>
  </si>
  <si>
    <t>no</t>
  </si>
  <si>
    <t>block shape list</t>
  </si>
  <si>
    <t>straight section list</t>
  </si>
  <si>
    <t>Lists</t>
  </si>
  <si>
    <t>magnet model parameters</t>
  </si>
  <si>
    <t>polynomial order</t>
  </si>
  <si>
    <t>fine air box mesh</t>
  </si>
  <si>
    <t>fine air box length</t>
  </si>
  <si>
    <t>fine air box height</t>
  </si>
  <si>
    <t>fine air box width</t>
  </si>
  <si>
    <t>air box length</t>
  </si>
  <si>
    <t>air box radius</t>
  </si>
  <si>
    <r>
      <t>add terminations</t>
    </r>
    <r>
      <rPr>
        <i/>
        <sz val="11"/>
        <rFont val="Arial"/>
        <family val="2"/>
      </rPr>
      <t xml:space="preserve"> (please select from list)</t>
    </r>
  </si>
  <si>
    <r>
      <t xml:space="preserve">get block shape from </t>
    </r>
    <r>
      <rPr>
        <i/>
        <sz val="11"/>
        <color theme="1"/>
        <rFont val="Arial"/>
        <family val="2"/>
      </rPr>
      <t>(please select from list)</t>
    </r>
  </si>
  <si>
    <t>block1 size</t>
  </si>
  <si>
    <t>block2 size</t>
  </si>
  <si>
    <t>block3 size</t>
  </si>
  <si>
    <t>block4 size</t>
  </si>
  <si>
    <t>gap1</t>
  </si>
  <si>
    <t>gap2</t>
  </si>
  <si>
    <t>gap3</t>
  </si>
  <si>
    <t>gap4</t>
  </si>
  <si>
    <t>Block Shape</t>
  </si>
  <si>
    <t>end design</t>
  </si>
  <si>
    <t>Vacodym 764AP Br=1.39T</t>
  </si>
  <si>
    <t>C:\Arq\Work_At_LNLS\eclipse-workspace\insertion-devices\magnet\DeltaSabiaBlock.dxf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</si>
</sst>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8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sz val="11"/>
      <color rgb="FF0070C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22"/>
      <name val="Arial"/>
      <family val="2"/>
    </font>
    <font>
      <sz val="12"/>
      <name val="Arial"/>
      <family val="2"/>
    </font>
    <font>
      <b/>
      <sz val="11"/>
      <color theme="5"/>
      <name val="Arial"/>
      <family val="2"/>
    </font>
    <font>
      <b/>
      <sz val="11"/>
      <color rgb="FF002060"/>
      <name val="Arial"/>
      <family val="2"/>
    </font>
    <font>
      <b/>
      <i/>
      <sz val="11"/>
      <name val="Arial"/>
      <family val="2"/>
    </font>
    <font>
      <b/>
      <sz val="16"/>
      <color theme="0"/>
      <name val="Arial"/>
      <family val="2"/>
    </font>
    <font>
      <b/>
      <sz val="14"/>
      <color rgb="FF000000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2" fillId="0" borderId="1" xfId="0" applyFont="1" applyFill="1" applyBorder="1" applyAlignment="1">
      <alignment horizontal="right"/>
    </xf>
    <xf numFmtId="0" fontId="9" fillId="0" borderId="0" xfId="0" applyFont="1" applyAlignment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8" fillId="0" borderId="0" xfId="0" applyFont="1" applyBorder="1"/>
    <xf numFmtId="0" fontId="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Border="1"/>
    <xf numFmtId="0" fontId="2" fillId="0" borderId="0" xfId="0" applyFont="1" applyAlignment="1"/>
    <xf numFmtId="164" fontId="0" fillId="0" borderId="0" xfId="0" applyNumberFormat="1"/>
    <xf numFmtId="0" fontId="0" fillId="0" borderId="0" xfId="0" applyFill="1" applyBorder="1"/>
    <xf numFmtId="0" fontId="4" fillId="0" borderId="7" xfId="0" applyFont="1" applyBorder="1"/>
    <xf numFmtId="0" fontId="6" fillId="0" borderId="8" xfId="0" applyFont="1" applyBorder="1"/>
    <xf numFmtId="2" fontId="11" fillId="0" borderId="8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2" fontId="0" fillId="0" borderId="7" xfId="0" applyNumberFormat="1" applyBorder="1"/>
    <xf numFmtId="2" fontId="0" fillId="0" borderId="0" xfId="0" applyNumberFormat="1" applyBorder="1"/>
    <xf numFmtId="2" fontId="1" fillId="0" borderId="7" xfId="0" applyNumberFormat="1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13" fillId="0" borderId="7" xfId="0" applyFont="1" applyBorder="1"/>
    <xf numFmtId="0" fontId="12" fillId="0" borderId="8" xfId="0" applyFont="1" applyBorder="1" applyAlignment="1">
      <alignment horizontal="right"/>
    </xf>
    <xf numFmtId="0" fontId="11" fillId="0" borderId="8" xfId="0" applyFont="1" applyBorder="1"/>
    <xf numFmtId="0" fontId="7" fillId="0" borderId="7" xfId="0" applyFont="1" applyBorder="1"/>
    <xf numFmtId="0" fontId="7" fillId="0" borderId="10" xfId="0" applyFont="1" applyBorder="1"/>
    <xf numFmtId="0" fontId="7" fillId="0" borderId="11" xfId="0" applyFont="1" applyBorder="1"/>
    <xf numFmtId="0" fontId="7" fillId="0" borderId="12" xfId="0" applyFont="1" applyBorder="1"/>
    <xf numFmtId="0" fontId="1" fillId="0" borderId="4" xfId="0" applyFont="1" applyBorder="1"/>
    <xf numFmtId="0" fontId="1" fillId="0" borderId="11" xfId="0" applyFont="1" applyBorder="1" applyAlignment="1">
      <alignment horizontal="center"/>
    </xf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4" fillId="0" borderId="7" xfId="0" applyFont="1" applyFill="1" applyBorder="1" applyAlignment="1">
      <alignment vertical="center"/>
    </xf>
    <xf numFmtId="0" fontId="14" fillId="0" borderId="8" xfId="0" applyFont="1" applyFill="1" applyBorder="1" applyAlignment="1">
      <alignment vertical="center"/>
    </xf>
    <xf numFmtId="0" fontId="1" fillId="0" borderId="10" xfId="0" applyFont="1" applyBorder="1" applyAlignment="1">
      <alignment horizontal="center"/>
    </xf>
    <xf numFmtId="0" fontId="0" fillId="0" borderId="8" xfId="0" applyFill="1" applyBorder="1"/>
    <xf numFmtId="0" fontId="4" fillId="0" borderId="7" xfId="0" applyFont="1" applyFill="1" applyBorder="1"/>
    <xf numFmtId="0" fontId="1" fillId="0" borderId="17" xfId="0" applyFont="1" applyBorder="1"/>
    <xf numFmtId="0" fontId="7" fillId="0" borderId="17" xfId="0" applyFont="1" applyBorder="1"/>
    <xf numFmtId="0" fontId="0" fillId="0" borderId="17" xfId="0" applyBorder="1"/>
    <xf numFmtId="0" fontId="7" fillId="0" borderId="18" xfId="0" applyFont="1" applyBorder="1"/>
    <xf numFmtId="0" fontId="8" fillId="0" borderId="7" xfId="0" applyFont="1" applyBorder="1"/>
    <xf numFmtId="0" fontId="4" fillId="0" borderId="7" xfId="0" applyFont="1" applyBorder="1" applyAlignment="1">
      <alignment horizontal="left" indent="3"/>
    </xf>
    <xf numFmtId="0" fontId="16" fillId="0" borderId="7" xfId="0" applyFont="1" applyBorder="1"/>
    <xf numFmtId="0" fontId="6" fillId="0" borderId="8" xfId="0" applyFont="1" applyBorder="1" applyAlignment="1">
      <alignment horizontal="right" wrapText="1"/>
    </xf>
    <xf numFmtId="0" fontId="14" fillId="3" borderId="16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2" fontId="10" fillId="0" borderId="1" xfId="0" applyNumberFormat="1" applyFont="1" applyFill="1" applyBorder="1" applyAlignment="1">
      <alignment horizontal="center"/>
    </xf>
    <xf numFmtId="2" fontId="10" fillId="0" borderId="2" xfId="0" applyNumberFormat="1" applyFont="1" applyFill="1" applyBorder="1" applyAlignment="1">
      <alignment horizontal="center"/>
    </xf>
    <xf numFmtId="2" fontId="10" fillId="0" borderId="3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Low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Clear'!$B$7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32042869641293"/>
                  <c:y val="1.5438538932633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Clear'!$B$8:$B$40</c:f>
              <c:numCache>
                <c:formatCode>General</c:formatCode>
                <c:ptCount val="33"/>
                <c:pt idx="0">
                  <c:v>3.1895799999999999</c:v>
                </c:pt>
                <c:pt idx="1">
                  <c:v>3.1895799999999999</c:v>
                </c:pt>
                <c:pt idx="2">
                  <c:v>3.1982200000000001</c:v>
                </c:pt>
                <c:pt idx="3">
                  <c:v>3.2240099999999998</c:v>
                </c:pt>
                <c:pt idx="4">
                  <c:v>3.26654</c:v>
                </c:pt>
                <c:pt idx="5">
                  <c:v>3.32517</c:v>
                </c:pt>
                <c:pt idx="6">
                  <c:v>3.39906</c:v>
                </c:pt>
                <c:pt idx="7">
                  <c:v>3.48725</c:v>
                </c:pt>
                <c:pt idx="8">
                  <c:v>3.5886800000000001</c:v>
                </c:pt>
                <c:pt idx="9">
                  <c:v>3.7022699999999999</c:v>
                </c:pt>
                <c:pt idx="10">
                  <c:v>3.8269199999999999</c:v>
                </c:pt>
                <c:pt idx="11">
                  <c:v>3.9615999999999998</c:v>
                </c:pt>
                <c:pt idx="12">
                  <c:v>3.9615999999999998</c:v>
                </c:pt>
                <c:pt idx="13">
                  <c:v>4.1053199999999999</c:v>
                </c:pt>
                <c:pt idx="14">
                  <c:v>4.2571700000000003</c:v>
                </c:pt>
                <c:pt idx="15">
                  <c:v>4.4162999999999997</c:v>
                </c:pt>
                <c:pt idx="16">
                  <c:v>4.5819599999999996</c:v>
                </c:pt>
                <c:pt idx="17">
                  <c:v>4.7534599999999996</c:v>
                </c:pt>
                <c:pt idx="18">
                  <c:v>4.9282300000000001</c:v>
                </c:pt>
                <c:pt idx="19">
                  <c:v>5.1075900000000001</c:v>
                </c:pt>
                <c:pt idx="20">
                  <c:v>5.29108</c:v>
                </c:pt>
                <c:pt idx="21">
                  <c:v>5.4782799999999998</c:v>
                </c:pt>
                <c:pt idx="22">
                  <c:v>5.6688299999999998</c:v>
                </c:pt>
                <c:pt idx="23">
                  <c:v>5.8624000000000001</c:v>
                </c:pt>
                <c:pt idx="24">
                  <c:v>6.0586900000000004</c:v>
                </c:pt>
                <c:pt idx="25">
                  <c:v>6.25746</c:v>
                </c:pt>
                <c:pt idx="26">
                  <c:v>6.4584700000000002</c:v>
                </c:pt>
                <c:pt idx="27">
                  <c:v>6.66153</c:v>
                </c:pt>
                <c:pt idx="28">
                  <c:v>6.8664399999999999</c:v>
                </c:pt>
                <c:pt idx="29">
                  <c:v>7.0753599999999999</c:v>
                </c:pt>
                <c:pt idx="30">
                  <c:v>7.2858700000000001</c:v>
                </c:pt>
                <c:pt idx="31">
                  <c:v>7.4978199999999999</c:v>
                </c:pt>
                <c:pt idx="32">
                  <c:v>7.7111200000000002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A6-40C3-8F70-596D3E6C3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Low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Clear'!$C$7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995253718285215"/>
                  <c:y val="-2.952938174394867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Clear'!$A$8:$A$40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0.3</c:v>
                </c:pt>
                <c:pt idx="5">
                  <c:v>0.4</c:v>
                </c:pt>
                <c:pt idx="6">
                  <c:v>0.5</c:v>
                </c:pt>
                <c:pt idx="7">
                  <c:v>0.6</c:v>
                </c:pt>
                <c:pt idx="8">
                  <c:v>0.7</c:v>
                </c:pt>
                <c:pt idx="9">
                  <c:v>0.8</c:v>
                </c:pt>
                <c:pt idx="10">
                  <c:v>0.9</c:v>
                </c:pt>
                <c:pt idx="11">
                  <c:v>1</c:v>
                </c:pt>
                <c:pt idx="12">
                  <c:v>1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1.3</c:v>
                </c:pt>
                <c:pt idx="16">
                  <c:v>1.4</c:v>
                </c:pt>
                <c:pt idx="17">
                  <c:v>1.5</c:v>
                </c:pt>
                <c:pt idx="18">
                  <c:v>1.5989</c:v>
                </c:pt>
                <c:pt idx="19">
                  <c:v>1.6978</c:v>
                </c:pt>
                <c:pt idx="20">
                  <c:v>1.7967</c:v>
                </c:pt>
                <c:pt idx="21">
                  <c:v>1.8956</c:v>
                </c:pt>
                <c:pt idx="22">
                  <c:v>1.9944999999999999</c:v>
                </c:pt>
                <c:pt idx="23">
                  <c:v>2.0933999999999999</c:v>
                </c:pt>
                <c:pt idx="24">
                  <c:v>2.1922999999999999</c:v>
                </c:pt>
                <c:pt idx="25">
                  <c:v>2.2911999999999999</c:v>
                </c:pt>
                <c:pt idx="26">
                  <c:v>2.3900999999999999</c:v>
                </c:pt>
                <c:pt idx="27">
                  <c:v>2.4889999999999999</c:v>
                </c:pt>
                <c:pt idx="28">
                  <c:v>2.5878999999999999</c:v>
                </c:pt>
                <c:pt idx="29">
                  <c:v>2.6879</c:v>
                </c:pt>
                <c:pt idx="30">
                  <c:v>2.7879</c:v>
                </c:pt>
                <c:pt idx="31">
                  <c:v>2.8879000000000001</c:v>
                </c:pt>
                <c:pt idx="32">
                  <c:v>2.9878999999999998</c:v>
                </c:pt>
              </c:numCache>
            </c:numRef>
          </c:xVal>
          <c:yVal>
            <c:numRef>
              <c:f>'Beam Stay Clear'!$C$8:$C$40</c:f>
              <c:numCache>
                <c:formatCode>General</c:formatCode>
                <c:ptCount val="33"/>
                <c:pt idx="0">
                  <c:v>1.9079600000000001</c:v>
                </c:pt>
                <c:pt idx="1">
                  <c:v>1.9079600000000001</c:v>
                </c:pt>
                <c:pt idx="2">
                  <c:v>1.91168</c:v>
                </c:pt>
                <c:pt idx="3">
                  <c:v>1.9228099999999999</c:v>
                </c:pt>
                <c:pt idx="4">
                  <c:v>1.9412100000000001</c:v>
                </c:pt>
                <c:pt idx="5">
                  <c:v>1.96669</c:v>
                </c:pt>
                <c:pt idx="6">
                  <c:v>1.9989600000000001</c:v>
                </c:pt>
                <c:pt idx="7">
                  <c:v>2.0377200000000002</c:v>
                </c:pt>
                <c:pt idx="8">
                  <c:v>2.0825900000000002</c:v>
                </c:pt>
                <c:pt idx="9">
                  <c:v>2.1331899999999999</c:v>
                </c:pt>
                <c:pt idx="10">
                  <c:v>2.18913</c:v>
                </c:pt>
                <c:pt idx="11">
                  <c:v>2.25</c:v>
                </c:pt>
                <c:pt idx="12">
                  <c:v>2.25</c:v>
                </c:pt>
                <c:pt idx="13">
                  <c:v>2.31542</c:v>
                </c:pt>
                <c:pt idx="14">
                  <c:v>2.3850099999999999</c:v>
                </c:pt>
                <c:pt idx="15">
                  <c:v>2.4584199999999998</c:v>
                </c:pt>
                <c:pt idx="16">
                  <c:v>2.53531</c:v>
                </c:pt>
                <c:pt idx="17">
                  <c:v>2.6153900000000001</c:v>
                </c:pt>
                <c:pt idx="18">
                  <c:v>2.6974300000000002</c:v>
                </c:pt>
                <c:pt idx="19">
                  <c:v>2.7820499999999999</c:v>
                </c:pt>
                <c:pt idx="20">
                  <c:v>2.86903</c:v>
                </c:pt>
                <c:pt idx="21">
                  <c:v>2.9581499999999998</c:v>
                </c:pt>
                <c:pt idx="22">
                  <c:v>3.0492400000000002</c:v>
                </c:pt>
                <c:pt idx="23">
                  <c:v>3.1421100000000002</c:v>
                </c:pt>
                <c:pt idx="24">
                  <c:v>3.2366100000000002</c:v>
                </c:pt>
                <c:pt idx="25">
                  <c:v>3.3326099999999999</c:v>
                </c:pt>
                <c:pt idx="26">
                  <c:v>3.42997</c:v>
                </c:pt>
                <c:pt idx="27">
                  <c:v>3.5285899999999999</c:v>
                </c:pt>
                <c:pt idx="28">
                  <c:v>3.6283699999999999</c:v>
                </c:pt>
                <c:pt idx="29">
                  <c:v>3.7303299999999999</c:v>
                </c:pt>
                <c:pt idx="30">
                  <c:v>3.8332999999999999</c:v>
                </c:pt>
                <c:pt idx="31">
                  <c:v>3.9371800000000001</c:v>
                </c:pt>
                <c:pt idx="32">
                  <c:v>4.0419099999999997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F6-4ABF-9AB0-C045D4666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Beam Stay</a:t>
            </a:r>
            <a:r>
              <a:rPr lang="en-US" baseline="0"/>
              <a:t> Clear Horizontal - High Beta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Clear'!$L$7</c:f>
              <c:strCache>
                <c:ptCount val="1"/>
                <c:pt idx="0">
                  <c:v>BSCH [mm]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1015538540714283"/>
                  <c:y val="-3.449475065616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Clear'!$L$8:$L$43</c:f>
              <c:numCache>
                <c:formatCode>General</c:formatCode>
                <c:ptCount val="36"/>
                <c:pt idx="0">
                  <c:v>11.54238</c:v>
                </c:pt>
                <c:pt idx="1">
                  <c:v>11.54238</c:v>
                </c:pt>
                <c:pt idx="2">
                  <c:v>11.54238</c:v>
                </c:pt>
                <c:pt idx="3">
                  <c:v>11.54255</c:v>
                </c:pt>
                <c:pt idx="4">
                  <c:v>11.543049999999999</c:v>
                </c:pt>
                <c:pt idx="5">
                  <c:v>11.543889999999999</c:v>
                </c:pt>
                <c:pt idx="6">
                  <c:v>11.545059999999999</c:v>
                </c:pt>
                <c:pt idx="7">
                  <c:v>11.546569999999999</c:v>
                </c:pt>
                <c:pt idx="8">
                  <c:v>11.548410000000001</c:v>
                </c:pt>
                <c:pt idx="9">
                  <c:v>11.55059</c:v>
                </c:pt>
                <c:pt idx="10">
                  <c:v>11.553089999999999</c:v>
                </c:pt>
                <c:pt idx="11">
                  <c:v>11.55594</c:v>
                </c:pt>
                <c:pt idx="12">
                  <c:v>11.55912</c:v>
                </c:pt>
                <c:pt idx="13">
                  <c:v>11.56263</c:v>
                </c:pt>
                <c:pt idx="14">
                  <c:v>11.566470000000001</c:v>
                </c:pt>
                <c:pt idx="15">
                  <c:v>11.570650000000001</c:v>
                </c:pt>
                <c:pt idx="16">
                  <c:v>11.575150000000001</c:v>
                </c:pt>
                <c:pt idx="17">
                  <c:v>11.57999</c:v>
                </c:pt>
                <c:pt idx="18">
                  <c:v>11.58517</c:v>
                </c:pt>
                <c:pt idx="19">
                  <c:v>11.590669999999999</c:v>
                </c:pt>
                <c:pt idx="20">
                  <c:v>11.596500000000001</c:v>
                </c:pt>
                <c:pt idx="21">
                  <c:v>11.60267</c:v>
                </c:pt>
                <c:pt idx="22">
                  <c:v>11.609159999999999</c:v>
                </c:pt>
                <c:pt idx="23">
                  <c:v>11.616300000000001</c:v>
                </c:pt>
                <c:pt idx="24">
                  <c:v>11.62379</c:v>
                </c:pt>
                <c:pt idx="25">
                  <c:v>11.631640000000001</c:v>
                </c:pt>
                <c:pt idx="26">
                  <c:v>11.639849999999999</c:v>
                </c:pt>
                <c:pt idx="27">
                  <c:v>11.64494</c:v>
                </c:pt>
                <c:pt idx="28">
                  <c:v>11.64494</c:v>
                </c:pt>
                <c:pt idx="29">
                  <c:v>11.65372</c:v>
                </c:pt>
                <c:pt idx="30">
                  <c:v>11.65372</c:v>
                </c:pt>
                <c:pt idx="31">
                  <c:v>11.662850000000001</c:v>
                </c:pt>
                <c:pt idx="32">
                  <c:v>11.67137</c:v>
                </c:pt>
                <c:pt idx="33">
                  <c:v>11.68017</c:v>
                </c:pt>
                <c:pt idx="34">
                  <c:v>11.68927</c:v>
                </c:pt>
                <c:pt idx="35">
                  <c:v>11.698639999999999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7E-48EE-856E-CB5681789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BSCH</a:t>
                </a:r>
                <a:r>
                  <a:rPr lang="pt-BR" baseline="0"/>
                  <a:t>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Beam Stay Clear Vertical - High Beta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'Beam Stay Clear'!$M$7</c:f>
              <c:strCache>
                <c:ptCount val="1"/>
                <c:pt idx="0">
                  <c:v>BSCV[mm]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1330572796156941"/>
                  <c:y val="-2.30325896762904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'Beam Stay Clear'!$K$8:$K$43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9.5750000000000002E-2</c:v>
                </c:pt>
                <c:pt idx="4">
                  <c:v>0.1915</c:v>
                </c:pt>
                <c:pt idx="5">
                  <c:v>0.28725000000000001</c:v>
                </c:pt>
                <c:pt idx="6">
                  <c:v>0.38300000000000001</c:v>
                </c:pt>
                <c:pt idx="7">
                  <c:v>0.47875000000000001</c:v>
                </c:pt>
                <c:pt idx="8">
                  <c:v>0.57450000000000001</c:v>
                </c:pt>
                <c:pt idx="9">
                  <c:v>0.67025000000000001</c:v>
                </c:pt>
                <c:pt idx="10">
                  <c:v>0.76600000000000001</c:v>
                </c:pt>
                <c:pt idx="11">
                  <c:v>0.86175000000000002</c:v>
                </c:pt>
                <c:pt idx="12">
                  <c:v>0.95750000000000002</c:v>
                </c:pt>
                <c:pt idx="13">
                  <c:v>1.05325</c:v>
                </c:pt>
                <c:pt idx="14">
                  <c:v>1.149</c:v>
                </c:pt>
                <c:pt idx="15">
                  <c:v>1.24475</c:v>
                </c:pt>
                <c:pt idx="16">
                  <c:v>1.3405</c:v>
                </c:pt>
                <c:pt idx="17">
                  <c:v>1.43625</c:v>
                </c:pt>
                <c:pt idx="18">
                  <c:v>1.532</c:v>
                </c:pt>
                <c:pt idx="19">
                  <c:v>1.62775</c:v>
                </c:pt>
                <c:pt idx="20">
                  <c:v>1.7235</c:v>
                </c:pt>
                <c:pt idx="21">
                  <c:v>1.81925</c:v>
                </c:pt>
                <c:pt idx="22">
                  <c:v>1.915</c:v>
                </c:pt>
                <c:pt idx="23">
                  <c:v>2.0150000000000001</c:v>
                </c:pt>
                <c:pt idx="24">
                  <c:v>2.1150000000000002</c:v>
                </c:pt>
                <c:pt idx="25">
                  <c:v>2.2149999999999999</c:v>
                </c:pt>
                <c:pt idx="26">
                  <c:v>2.3149999999999999</c:v>
                </c:pt>
                <c:pt idx="27">
                  <c:v>2.375</c:v>
                </c:pt>
                <c:pt idx="28">
                  <c:v>2.375</c:v>
                </c:pt>
                <c:pt idx="29">
                  <c:v>2.4750000000000001</c:v>
                </c:pt>
                <c:pt idx="30">
                  <c:v>2.4750000000000001</c:v>
                </c:pt>
                <c:pt idx="31">
                  <c:v>2.5750000000000002</c:v>
                </c:pt>
                <c:pt idx="32">
                  <c:v>2.665</c:v>
                </c:pt>
                <c:pt idx="33">
                  <c:v>2.7549999999999999</c:v>
                </c:pt>
                <c:pt idx="34">
                  <c:v>2.8450000000000002</c:v>
                </c:pt>
                <c:pt idx="35">
                  <c:v>2.9350000000000001</c:v>
                </c:pt>
              </c:numCache>
            </c:numRef>
          </c:xVal>
          <c:yVal>
            <c:numRef>
              <c:f>'Beam Stay Clear'!$M$8:$M$43</c:f>
              <c:numCache>
                <c:formatCode>General</c:formatCode>
                <c:ptCount val="36"/>
                <c:pt idx="0">
                  <c:v>2.8438699999999999</c:v>
                </c:pt>
                <c:pt idx="1">
                  <c:v>2.8438699999999999</c:v>
                </c:pt>
                <c:pt idx="2">
                  <c:v>2.8438699999999999</c:v>
                </c:pt>
                <c:pt idx="3">
                  <c:v>2.8449</c:v>
                </c:pt>
                <c:pt idx="4">
                  <c:v>2.8479899999999998</c:v>
                </c:pt>
                <c:pt idx="5">
                  <c:v>2.8531399999999998</c:v>
                </c:pt>
                <c:pt idx="6">
                  <c:v>2.8603299999999998</c:v>
                </c:pt>
                <c:pt idx="7">
                  <c:v>2.8695499999999998</c:v>
                </c:pt>
                <c:pt idx="8">
                  <c:v>2.8807800000000001</c:v>
                </c:pt>
                <c:pt idx="9">
                  <c:v>2.8939900000000001</c:v>
                </c:pt>
                <c:pt idx="10">
                  <c:v>2.90916</c:v>
                </c:pt>
                <c:pt idx="11">
                  <c:v>2.92625</c:v>
                </c:pt>
                <c:pt idx="12">
                  <c:v>2.9452500000000001</c:v>
                </c:pt>
                <c:pt idx="13">
                  <c:v>2.9661</c:v>
                </c:pt>
                <c:pt idx="14">
                  <c:v>2.9887600000000001</c:v>
                </c:pt>
                <c:pt idx="15">
                  <c:v>3.0132099999999999</c:v>
                </c:pt>
                <c:pt idx="16">
                  <c:v>3.03939</c:v>
                </c:pt>
                <c:pt idx="17">
                  <c:v>3.0672600000000001</c:v>
                </c:pt>
                <c:pt idx="18">
                  <c:v>3.0967799999999999</c:v>
                </c:pt>
                <c:pt idx="19">
                  <c:v>3.1278899999999998</c:v>
                </c:pt>
                <c:pt idx="20">
                  <c:v>3.1605500000000002</c:v>
                </c:pt>
                <c:pt idx="21">
                  <c:v>3.1947199999999998</c:v>
                </c:pt>
                <c:pt idx="22">
                  <c:v>3.2303500000000001</c:v>
                </c:pt>
                <c:pt idx="23">
                  <c:v>3.26905</c:v>
                </c:pt>
                <c:pt idx="24">
                  <c:v>3.30924</c:v>
                </c:pt>
                <c:pt idx="25">
                  <c:v>3.3508599999999999</c:v>
                </c:pt>
                <c:pt idx="26">
                  <c:v>3.3938600000000001</c:v>
                </c:pt>
                <c:pt idx="27">
                  <c:v>3.4202900000000001</c:v>
                </c:pt>
                <c:pt idx="28">
                  <c:v>3.4202900000000001</c:v>
                </c:pt>
                <c:pt idx="29">
                  <c:v>3.4653800000000001</c:v>
                </c:pt>
                <c:pt idx="30">
                  <c:v>3.4653800000000001</c:v>
                </c:pt>
                <c:pt idx="31">
                  <c:v>3.51172</c:v>
                </c:pt>
                <c:pt idx="32">
                  <c:v>3.55444</c:v>
                </c:pt>
                <c:pt idx="33">
                  <c:v>3.5981000000000001</c:v>
                </c:pt>
                <c:pt idx="34">
                  <c:v>3.6426500000000002</c:v>
                </c:pt>
                <c:pt idx="35">
                  <c:v>3.6880799999999998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47-4591-BCC2-C7180B16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20848"/>
        <c:axId val="517621832"/>
      </c:scatterChart>
      <c:valAx>
        <c:axId val="517620848"/>
        <c:scaling>
          <c:orientation val="minMax"/>
          <c:max val="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position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1832"/>
        <c:crosses val="autoZero"/>
        <c:crossBetween val="midCat"/>
      </c:valAx>
      <c:valAx>
        <c:axId val="517621832"/>
        <c:scaling>
          <c:orientation val="minMax"/>
          <c:max val="3.7"/>
          <c:min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BSCV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2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Magnet'!$L$3:$L$7</c:f>
              <c:numCache>
                <c:formatCode>General</c:formatCode>
                <c:ptCount val="5"/>
                <c:pt idx="0">
                  <c:v>-3.5</c:v>
                </c:pt>
                <c:pt idx="1">
                  <c:v>3.5</c:v>
                </c:pt>
                <c:pt idx="2">
                  <c:v>3.5</c:v>
                </c:pt>
                <c:pt idx="3">
                  <c:v>-3.5</c:v>
                </c:pt>
                <c:pt idx="4">
                  <c:v>-3.5</c:v>
                </c:pt>
              </c:numCache>
            </c:numRef>
          </c:xVal>
          <c:yVal>
            <c:numRef>
              <c:f>'Create Undulator Magnet'!$M$3:$M$7</c:f>
              <c:numCache>
                <c:formatCode>General</c:formatCode>
                <c:ptCount val="5"/>
                <c:pt idx="0">
                  <c:v>-2.0449999999999999</c:v>
                </c:pt>
                <c:pt idx="1">
                  <c:v>-2.0449999999999999</c:v>
                </c:pt>
                <c:pt idx="2">
                  <c:v>2.0449999999999999</c:v>
                </c:pt>
                <c:pt idx="3">
                  <c:v>2.0449999999999999</c:v>
                </c:pt>
                <c:pt idx="4">
                  <c:v>-2.0449999999999999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CF-4CD1-9CF8-63E2CF8861E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Magnet'!$L$12:$L$13</c:f>
              <c:numCache>
                <c:formatCode>0.00</c:formatCode>
                <c:ptCount val="2"/>
                <c:pt idx="0">
                  <c:v>8.5862966286937912</c:v>
                </c:pt>
                <c:pt idx="1">
                  <c:v>1.0303555954432557</c:v>
                </c:pt>
              </c:numCache>
            </c:numRef>
          </c:xVal>
          <c:yVal>
            <c:numRef>
              <c:f>'Create Undulator Magnet'!$M$12:$M$13</c:f>
              <c:numCache>
                <c:formatCode>0.00</c:formatCode>
                <c:ptCount val="2"/>
                <c:pt idx="0">
                  <c:v>1.0303555954432544</c:v>
                </c:pt>
                <c:pt idx="1">
                  <c:v>8.5862966286937912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CF-4CD1-9CF8-63E2CF8861E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'Create Undulator Magnet'!$L$15:$L$16</c:f>
              <c:numCache>
                <c:formatCode>0.00</c:formatCode>
                <c:ptCount val="2"/>
                <c:pt idx="0">
                  <c:v>-8.5862966286937912</c:v>
                </c:pt>
                <c:pt idx="1">
                  <c:v>-1.0303555954432557</c:v>
                </c:pt>
              </c:numCache>
            </c:numRef>
          </c:xVal>
          <c:yVal>
            <c:numRef>
              <c:f>'Create Undulator Magnet'!$M$15:$M$16</c:f>
              <c:numCache>
                <c:formatCode>0.00</c:formatCode>
                <c:ptCount val="2"/>
                <c:pt idx="0">
                  <c:v>1.0303555954432544</c:v>
                </c:pt>
                <c:pt idx="1">
                  <c:v>8.5862966286937912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CF-4CD1-9CF8-63E2CF8861E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'Create Undulator Magnet'!$L$18:$L$19</c:f>
              <c:numCache>
                <c:formatCode>0.00</c:formatCode>
                <c:ptCount val="2"/>
                <c:pt idx="0">
                  <c:v>1.0303555954432557</c:v>
                </c:pt>
                <c:pt idx="1">
                  <c:v>8.5862966286937912</c:v>
                </c:pt>
              </c:numCache>
            </c:numRef>
          </c:xVal>
          <c:yVal>
            <c:numRef>
              <c:f>'Create Undulator Magnet'!$M$18:$M$19</c:f>
              <c:numCache>
                <c:formatCode>0.00</c:formatCode>
                <c:ptCount val="2"/>
                <c:pt idx="0">
                  <c:v>-8.5862966286937912</c:v>
                </c:pt>
                <c:pt idx="1">
                  <c:v>-1.0303555954432544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CF-4CD1-9CF8-63E2CF8861E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'Create Undulator Magnet'!$L$21:$L$22</c:f>
              <c:numCache>
                <c:formatCode>0.00</c:formatCode>
                <c:ptCount val="2"/>
                <c:pt idx="0">
                  <c:v>-8.5862966286937912</c:v>
                </c:pt>
                <c:pt idx="1">
                  <c:v>-1.0303555954432557</c:v>
                </c:pt>
              </c:numCache>
            </c:numRef>
          </c:xVal>
          <c:yVal>
            <c:numRef>
              <c:f>'Create Undulator Magnet'!$M$21:$M$22</c:f>
              <c:numCache>
                <c:formatCode>0.00</c:formatCode>
                <c:ptCount val="2"/>
                <c:pt idx="0">
                  <c:v>-1.0303555954432544</c:v>
                </c:pt>
                <c:pt idx="1">
                  <c:v>-8.5862966286937912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CF-4CD1-9CF8-63E2CF8861E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Magnet'!$P$3:$P$24</c:f>
              <c:numCache>
                <c:formatCode>General</c:formatCode>
                <c:ptCount val="22"/>
                <c:pt idx="0">
                  <c:v>0</c:v>
                </c:pt>
                <c:pt idx="1">
                  <c:v>0.87100171694991813</c:v>
                </c:pt>
                <c:pt idx="2">
                  <c:v>1.200593012959196</c:v>
                </c:pt>
                <c:pt idx="3">
                  <c:v>1.4312018639975999</c:v>
                </c:pt>
                <c:pt idx="4">
                  <c:v>1.6060478103596412</c:v>
                </c:pt>
                <c:pt idx="5">
                  <c:v>1.7420034338998363</c:v>
                </c:pt>
                <c:pt idx="6">
                  <c:v>1.8476736614412388</c:v>
                </c:pt>
                <c:pt idx="7">
                  <c:v>1.9280444900353195</c:v>
                </c:pt>
                <c:pt idx="8">
                  <c:v>1.9861895057709036</c:v>
                </c:pt>
                <c:pt idx="9">
                  <c:v>2.0240250865590594</c:v>
                </c:pt>
                <c:pt idx="10">
                  <c:v>2.0426800900075808</c:v>
                </c:pt>
                <c:pt idx="11">
                  <c:v>2.0426800900075808</c:v>
                </c:pt>
                <c:pt idx="12">
                  <c:v>2.0240250865590594</c:v>
                </c:pt>
                <c:pt idx="13">
                  <c:v>1.9861895057709036</c:v>
                </c:pt>
                <c:pt idx="14">
                  <c:v>1.9280444900353193</c:v>
                </c:pt>
                <c:pt idx="15">
                  <c:v>1.8476736614412386</c:v>
                </c:pt>
                <c:pt idx="16">
                  <c:v>1.742003433899836</c:v>
                </c:pt>
                <c:pt idx="17">
                  <c:v>1.6060478103596412</c:v>
                </c:pt>
                <c:pt idx="18">
                  <c:v>1.4312018639975996</c:v>
                </c:pt>
                <c:pt idx="19">
                  <c:v>1.2005930129591955</c:v>
                </c:pt>
                <c:pt idx="20">
                  <c:v>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FCF-4CD1-9CF8-63E2CF8861E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'Create Undulator Magnet'!$O$3:$O$24</c:f>
              <c:numCache>
                <c:formatCode>General</c:formatCode>
                <c:ptCount val="22"/>
                <c:pt idx="0">
                  <c:v>-3.5</c:v>
                </c:pt>
                <c:pt idx="1">
                  <c:v>-3.1666666666666665</c:v>
                </c:pt>
                <c:pt idx="2">
                  <c:v>-2.833333333333333</c:v>
                </c:pt>
                <c:pt idx="3">
                  <c:v>-2.4999999999999996</c:v>
                </c:pt>
                <c:pt idx="4">
                  <c:v>-2.1666666666666661</c:v>
                </c:pt>
                <c:pt idx="5">
                  <c:v>-1.8333333333333328</c:v>
                </c:pt>
                <c:pt idx="6">
                  <c:v>-1.4999999999999996</c:v>
                </c:pt>
                <c:pt idx="7">
                  <c:v>-1.1666666666666663</c:v>
                </c:pt>
                <c:pt idx="8">
                  <c:v>-0.83333333333333304</c:v>
                </c:pt>
                <c:pt idx="9">
                  <c:v>-0.49999999999999972</c:v>
                </c:pt>
                <c:pt idx="10">
                  <c:v>-0.16666666666666641</c:v>
                </c:pt>
                <c:pt idx="11">
                  <c:v>0.16666666666666691</c:v>
                </c:pt>
                <c:pt idx="12">
                  <c:v>0.50000000000000022</c:v>
                </c:pt>
                <c:pt idx="13">
                  <c:v>0.83333333333333348</c:v>
                </c:pt>
                <c:pt idx="14">
                  <c:v>1.1666666666666667</c:v>
                </c:pt>
                <c:pt idx="15">
                  <c:v>1.5</c:v>
                </c:pt>
                <c:pt idx="16">
                  <c:v>1.8333333333333333</c:v>
                </c:pt>
                <c:pt idx="17">
                  <c:v>2.1666666666666665</c:v>
                </c:pt>
                <c:pt idx="18">
                  <c:v>2.5</c:v>
                </c:pt>
                <c:pt idx="19">
                  <c:v>2.8333333333333335</c:v>
                </c:pt>
                <c:pt idx="20">
                  <c:v>3.166666666666667</c:v>
                </c:pt>
                <c:pt idx="21">
                  <c:v>3.5000000000000004</c:v>
                </c:pt>
              </c:numCache>
            </c:numRef>
          </c:xVal>
          <c:yVal>
            <c:numRef>
              <c:f>'Create Undulator Magnet'!$Q$3:$Q$24</c:f>
              <c:numCache>
                <c:formatCode>General</c:formatCode>
                <c:ptCount val="22"/>
                <c:pt idx="0">
                  <c:v>0</c:v>
                </c:pt>
                <c:pt idx="1">
                  <c:v>-0.87100171694991813</c:v>
                </c:pt>
                <c:pt idx="2">
                  <c:v>-1.200593012959196</c:v>
                </c:pt>
                <c:pt idx="3">
                  <c:v>-1.4312018639975999</c:v>
                </c:pt>
                <c:pt idx="4">
                  <c:v>-1.6060478103596412</c:v>
                </c:pt>
                <c:pt idx="5">
                  <c:v>-1.7420034338998363</c:v>
                </c:pt>
                <c:pt idx="6">
                  <c:v>-1.8476736614412388</c:v>
                </c:pt>
                <c:pt idx="7">
                  <c:v>-1.9280444900353195</c:v>
                </c:pt>
                <c:pt idx="8">
                  <c:v>-1.9861895057709036</c:v>
                </c:pt>
                <c:pt idx="9">
                  <c:v>-2.0240250865590594</c:v>
                </c:pt>
                <c:pt idx="10">
                  <c:v>-2.0426800900075808</c:v>
                </c:pt>
                <c:pt idx="11">
                  <c:v>-2.0426800900075808</c:v>
                </c:pt>
                <c:pt idx="12">
                  <c:v>-2.0240250865590594</c:v>
                </c:pt>
                <c:pt idx="13">
                  <c:v>-1.9861895057709036</c:v>
                </c:pt>
                <c:pt idx="14">
                  <c:v>-1.9280444900353193</c:v>
                </c:pt>
                <c:pt idx="15">
                  <c:v>-1.8476736614412386</c:v>
                </c:pt>
                <c:pt idx="16">
                  <c:v>-1.742003433899836</c:v>
                </c:pt>
                <c:pt idx="17">
                  <c:v>-1.6060478103596412</c:v>
                </c:pt>
                <c:pt idx="18">
                  <c:v>-1.4312018639975996</c:v>
                </c:pt>
                <c:pt idx="19">
                  <c:v>-1.2005930129591955</c:v>
                </c:pt>
                <c:pt idx="20">
                  <c:v>-0.87100171694991757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FCF-4CD1-9CF8-63E2CF886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  <c:majorUnit val="2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'Create Undulator Magnet'!$G$4:$G$20</c:f>
              <c:numCache>
                <c:formatCode>General</c:formatCode>
                <c:ptCount val="17"/>
                <c:pt idx="0">
                  <c:v>5.25</c:v>
                </c:pt>
                <c:pt idx="1">
                  <c:v>22.5</c:v>
                </c:pt>
                <c:pt idx="2">
                  <c:v>22.5</c:v>
                </c:pt>
                <c:pt idx="3">
                  <c:v>17.8</c:v>
                </c:pt>
                <c:pt idx="4">
                  <c:v>17.8</c:v>
                </c:pt>
                <c:pt idx="5">
                  <c:v>22.5</c:v>
                </c:pt>
                <c:pt idx="6">
                  <c:v>22.5</c:v>
                </c:pt>
                <c:pt idx="7">
                  <c:v>21.5</c:v>
                </c:pt>
                <c:pt idx="8">
                  <c:v>-21.5</c:v>
                </c:pt>
                <c:pt idx="9">
                  <c:v>-22.5</c:v>
                </c:pt>
                <c:pt idx="10">
                  <c:v>-22.5</c:v>
                </c:pt>
                <c:pt idx="11">
                  <c:v>-17.8</c:v>
                </c:pt>
                <c:pt idx="12">
                  <c:v>-17.8</c:v>
                </c:pt>
                <c:pt idx="13">
                  <c:v>-22.5</c:v>
                </c:pt>
                <c:pt idx="14">
                  <c:v>-22.5</c:v>
                </c:pt>
                <c:pt idx="15">
                  <c:v>-5.25</c:v>
                </c:pt>
                <c:pt idx="16">
                  <c:v>5.25</c:v>
                </c:pt>
              </c:numCache>
            </c:numRef>
          </c:xVal>
          <c:yVal>
            <c:numRef>
              <c:f>'Create Undulator Magnet'!$H$4:$H$20</c:f>
              <c:numCache>
                <c:formatCode>General</c:formatCode>
                <c:ptCount val="17"/>
                <c:pt idx="0">
                  <c:v>0</c:v>
                </c:pt>
                <c:pt idx="1">
                  <c:v>19.3</c:v>
                </c:pt>
                <c:pt idx="2">
                  <c:v>29.2</c:v>
                </c:pt>
                <c:pt idx="3">
                  <c:v>33.200000000000003</c:v>
                </c:pt>
                <c:pt idx="4">
                  <c:v>38.4</c:v>
                </c:pt>
                <c:pt idx="5">
                  <c:v>42.4</c:v>
                </c:pt>
                <c:pt idx="6">
                  <c:v>49</c:v>
                </c:pt>
                <c:pt idx="7">
                  <c:v>50</c:v>
                </c:pt>
                <c:pt idx="8">
                  <c:v>50</c:v>
                </c:pt>
                <c:pt idx="9">
                  <c:v>49</c:v>
                </c:pt>
                <c:pt idx="10">
                  <c:v>42.4</c:v>
                </c:pt>
                <c:pt idx="11">
                  <c:v>38.4</c:v>
                </c:pt>
                <c:pt idx="12">
                  <c:v>33.200000000000003</c:v>
                </c:pt>
                <c:pt idx="13">
                  <c:v>29.2</c:v>
                </c:pt>
                <c:pt idx="14">
                  <c:v>19.3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E-4ED9-BF82-B9DC1767014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'Create Undulator Magnet'!$I$4:$I$24</c:f>
              <c:numCache>
                <c:formatCode>General</c:formatCode>
                <c:ptCount val="21"/>
                <c:pt idx="0">
                  <c:v>5.25</c:v>
                </c:pt>
                <c:pt idx="1">
                  <c:v>22.5</c:v>
                </c:pt>
                <c:pt idx="2">
                  <c:v>22.5</c:v>
                </c:pt>
                <c:pt idx="3">
                  <c:v>17.8</c:v>
                </c:pt>
                <c:pt idx="4">
                  <c:v>17.8</c:v>
                </c:pt>
                <c:pt idx="5">
                  <c:v>22.5</c:v>
                </c:pt>
                <c:pt idx="6">
                  <c:v>22.5</c:v>
                </c:pt>
                <c:pt idx="7">
                  <c:v>21.5</c:v>
                </c:pt>
                <c:pt idx="8">
                  <c:v>-21.5</c:v>
                </c:pt>
                <c:pt idx="9">
                  <c:v>-22.5</c:v>
                </c:pt>
                <c:pt idx="10">
                  <c:v>-22.5</c:v>
                </c:pt>
                <c:pt idx="11">
                  <c:v>-17.8</c:v>
                </c:pt>
                <c:pt idx="12">
                  <c:v>-17.8</c:v>
                </c:pt>
                <c:pt idx="13">
                  <c:v>-22.5</c:v>
                </c:pt>
                <c:pt idx="14">
                  <c:v>-22.5</c:v>
                </c:pt>
                <c:pt idx="15">
                  <c:v>-5.25</c:v>
                </c:pt>
                <c:pt idx="16">
                  <c:v>5.25</c:v>
                </c:pt>
              </c:numCache>
            </c:numRef>
          </c:xVal>
          <c:yVal>
            <c:numRef>
              <c:f>'Create Undulator Magnet'!$J$4:$J$24</c:f>
              <c:numCache>
                <c:formatCode>General</c:formatCode>
                <c:ptCount val="21"/>
                <c:pt idx="0">
                  <c:v>0</c:v>
                </c:pt>
                <c:pt idx="1">
                  <c:v>19.3</c:v>
                </c:pt>
                <c:pt idx="2">
                  <c:v>29.2</c:v>
                </c:pt>
                <c:pt idx="3">
                  <c:v>33.200000000000003</c:v>
                </c:pt>
                <c:pt idx="4">
                  <c:v>38.4</c:v>
                </c:pt>
                <c:pt idx="5">
                  <c:v>42.4</c:v>
                </c:pt>
                <c:pt idx="6">
                  <c:v>49</c:v>
                </c:pt>
                <c:pt idx="7">
                  <c:v>50</c:v>
                </c:pt>
                <c:pt idx="8">
                  <c:v>50</c:v>
                </c:pt>
                <c:pt idx="9">
                  <c:v>49</c:v>
                </c:pt>
                <c:pt idx="10">
                  <c:v>42.4</c:v>
                </c:pt>
                <c:pt idx="11">
                  <c:v>38.4</c:v>
                </c:pt>
                <c:pt idx="12">
                  <c:v>33.200000000000003</c:v>
                </c:pt>
                <c:pt idx="13">
                  <c:v>29.2</c:v>
                </c:pt>
                <c:pt idx="14">
                  <c:v>19.3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00E-4ED9-BF82-B9DC17670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070976"/>
        <c:axId val="550077536"/>
      </c:scatterChart>
      <c:valAx>
        <c:axId val="550070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7536"/>
        <c:crossesAt val="-1000"/>
        <c:crossBetween val="midCat"/>
      </c:valAx>
      <c:valAx>
        <c:axId val="55007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0070976"/>
        <c:crossesAt val="-10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37077</xdr:colOff>
      <xdr:row>6</xdr:row>
      <xdr:rowOff>0</xdr:rowOff>
    </xdr:from>
    <xdr:to>
      <xdr:col>8</xdr:col>
      <xdr:colOff>572523</xdr:colOff>
      <xdr:row>22</xdr:row>
      <xdr:rowOff>152400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37077</xdr:colOff>
      <xdr:row>23</xdr:row>
      <xdr:rowOff>9525</xdr:rowOff>
    </xdr:from>
    <xdr:to>
      <xdr:col>8</xdr:col>
      <xdr:colOff>572523</xdr:colOff>
      <xdr:row>40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37077</xdr:colOff>
      <xdr:row>6</xdr:row>
      <xdr:rowOff>0</xdr:rowOff>
    </xdr:from>
    <xdr:to>
      <xdr:col>18</xdr:col>
      <xdr:colOff>572523</xdr:colOff>
      <xdr:row>22</xdr:row>
      <xdr:rowOff>152400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38099</xdr:colOff>
      <xdr:row>23</xdr:row>
      <xdr:rowOff>9525</xdr:rowOff>
    </xdr:from>
    <xdr:to>
      <xdr:col>18</xdr:col>
      <xdr:colOff>572522</xdr:colOff>
      <xdr:row>40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552450</xdr:colOff>
      <xdr:row>5</xdr:row>
      <xdr:rowOff>57150</xdr:rowOff>
    </xdr:from>
    <xdr:to>
      <xdr:col>33</xdr:col>
      <xdr:colOff>28575</xdr:colOff>
      <xdr:row>42</xdr:row>
      <xdr:rowOff>97380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458950" y="1171575"/>
          <a:ext cx="8010525" cy="60314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85725</xdr:rowOff>
        </xdr:from>
        <xdr:to>
          <xdr:col>1</xdr:col>
          <xdr:colOff>2543175</xdr:colOff>
          <xdr:row>45</xdr:row>
          <xdr:rowOff>85725</xdr:rowOff>
        </xdr:to>
        <xdr:sp macro="" textlink="">
          <xdr:nvSpPr>
            <xdr:cNvPr id="1025" name="Botã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461115</xdr:colOff>
      <xdr:row>24</xdr:row>
      <xdr:rowOff>38100</xdr:rowOff>
    </xdr:from>
    <xdr:to>
      <xdr:col>16</xdr:col>
      <xdr:colOff>314325</xdr:colOff>
      <xdr:row>37</xdr:row>
      <xdr:rowOff>114990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400051</xdr:colOff>
      <xdr:row>24</xdr:row>
      <xdr:rowOff>46644</xdr:rowOff>
    </xdr:from>
    <xdr:to>
      <xdr:col>9</xdr:col>
      <xdr:colOff>561976</xdr:colOff>
      <xdr:row>37</xdr:row>
      <xdr:rowOff>142873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8E918-8C08-4B55-AFFC-9C20D2E5009F}">
  <sheetPr codeName="Planilha2"/>
  <dimension ref="A1:T44"/>
  <sheetViews>
    <sheetView workbookViewId="0">
      <selection activeCell="K4" sqref="K4"/>
    </sheetView>
  </sheetViews>
  <sheetFormatPr defaultRowHeight="12.75" x14ac:dyDescent="0.2"/>
  <cols>
    <col min="1" max="1" width="7" bestFit="1" customWidth="1"/>
    <col min="2" max="2" width="11.28515625" bestFit="1" customWidth="1"/>
    <col min="3" max="3" width="10.7109375" bestFit="1" customWidth="1"/>
    <col min="4" max="4" width="26" bestFit="1" customWidth="1"/>
    <col min="10" max="10" width="9.140625" customWidth="1"/>
    <col min="11" max="11" width="7" bestFit="1" customWidth="1"/>
    <col min="12" max="12" width="11.28515625" bestFit="1" customWidth="1"/>
    <col min="13" max="13" width="10.7109375" bestFit="1" customWidth="1"/>
    <col min="14" max="14" width="26" bestFit="1" customWidth="1"/>
    <col min="18" max="18" width="7.140625" customWidth="1"/>
    <col min="20" max="20" width="9.140625" customWidth="1"/>
  </cols>
  <sheetData>
    <row r="1" spans="1:20" ht="21" customHeight="1" x14ac:dyDescent="0.4">
      <c r="A1" s="65" t="s">
        <v>14</v>
      </c>
      <c r="B1" s="66"/>
      <c r="C1" s="66"/>
      <c r="D1" s="66"/>
      <c r="E1" s="66"/>
      <c r="F1" s="66"/>
      <c r="G1" s="66"/>
      <c r="H1" s="66"/>
      <c r="I1" s="67"/>
      <c r="J1" s="10"/>
      <c r="K1" s="65" t="s">
        <v>22</v>
      </c>
      <c r="L1" s="66"/>
      <c r="M1" s="66"/>
      <c r="N1" s="66"/>
      <c r="O1" s="66"/>
      <c r="P1" s="66"/>
      <c r="Q1" s="66"/>
      <c r="R1" s="66"/>
      <c r="S1" s="67"/>
      <c r="T1" s="10"/>
    </row>
    <row r="2" spans="1:20" x14ac:dyDescent="0.2">
      <c r="A2" s="11"/>
      <c r="B2" s="12"/>
      <c r="C2" s="12"/>
      <c r="D2" s="12"/>
      <c r="E2" s="12"/>
      <c r="F2" s="12"/>
      <c r="G2" s="12"/>
      <c r="H2" s="12"/>
      <c r="I2" s="13"/>
      <c r="K2" s="11"/>
      <c r="L2" s="12"/>
      <c r="M2" s="12"/>
      <c r="N2" s="12"/>
      <c r="O2" s="12"/>
      <c r="P2" s="12"/>
      <c r="Q2" s="12"/>
      <c r="R2" s="12"/>
      <c r="S2" s="13"/>
    </row>
    <row r="3" spans="1:20" ht="15.75" x14ac:dyDescent="0.25">
      <c r="A3" s="11"/>
      <c r="B3" s="12"/>
      <c r="C3" s="12"/>
      <c r="D3" s="8" t="s">
        <v>15</v>
      </c>
      <c r="E3" s="61">
        <v>2.4</v>
      </c>
      <c r="F3" s="61"/>
      <c r="G3" s="12"/>
      <c r="H3" s="12"/>
      <c r="I3" s="13"/>
      <c r="K3" s="11"/>
      <c r="L3" s="12"/>
      <c r="M3" s="12"/>
      <c r="N3" s="8" t="s">
        <v>15</v>
      </c>
      <c r="O3" s="61">
        <v>2.4</v>
      </c>
      <c r="P3" s="61"/>
      <c r="Q3" s="12"/>
      <c r="R3" s="12"/>
      <c r="S3" s="13"/>
    </row>
    <row r="4" spans="1:20" ht="15.75" x14ac:dyDescent="0.25">
      <c r="A4" s="11"/>
      <c r="B4" s="12"/>
      <c r="C4" s="12"/>
      <c r="D4" s="9" t="s">
        <v>16</v>
      </c>
      <c r="E4" s="62">
        <f xml:space="preserve"> ROUNDUP((-0.1034*(E3/2)^3 + 0.7783*(E3/2)^2 + 0.109*(E3/2) + 3.1763)*2,2)</f>
        <v>8.5</v>
      </c>
      <c r="F4" s="62"/>
      <c r="G4" s="12"/>
      <c r="H4" s="12"/>
      <c r="I4" s="13"/>
      <c r="K4" s="11"/>
      <c r="L4" s="12"/>
      <c r="M4" s="12"/>
      <c r="N4" s="9" t="s">
        <v>16</v>
      </c>
      <c r="O4" s="62">
        <f xml:space="preserve"> ROUNDUP((-0.00008*(O3/2)^3 + 0.0184*(O3/2)^2 - 0.00008*(O3/2) + 11.542)*2,2)</f>
        <v>23.14</v>
      </c>
      <c r="P4" s="62"/>
      <c r="Q4" s="12"/>
      <c r="R4" s="12"/>
      <c r="S4" s="13"/>
    </row>
    <row r="5" spans="1:20" ht="15.75" x14ac:dyDescent="0.25">
      <c r="A5" s="11"/>
      <c r="B5" s="12"/>
      <c r="C5" s="12"/>
      <c r="D5" s="9" t="s">
        <v>17</v>
      </c>
      <c r="E5" s="63">
        <f>ROUNDUP((-0.045*(E3/2)^3 + 0.3642*(E3/2)^2 + 0.0265*(E3/2) + 1.9042)*2,2)</f>
        <v>4.7699999999999996</v>
      </c>
      <c r="F5" s="64"/>
      <c r="G5" s="12"/>
      <c r="H5" s="12"/>
      <c r="I5" s="13"/>
      <c r="K5" s="11"/>
      <c r="L5" s="12"/>
      <c r="M5" s="12"/>
      <c r="N5" s="9" t="s">
        <v>17</v>
      </c>
      <c r="O5" s="63">
        <f>ROUNDUP((-0.008*(O3/2)^3 + 0.1233*(O3/2)^2 - 0.0051*(O3/2) + 2.8442)*2,2)</f>
        <v>6.01</v>
      </c>
      <c r="P5" s="64"/>
      <c r="Q5" s="12"/>
      <c r="R5" s="12"/>
      <c r="S5" s="13"/>
    </row>
    <row r="6" spans="1:20" x14ac:dyDescent="0.2">
      <c r="A6" s="11"/>
      <c r="B6" s="12"/>
      <c r="C6" s="12"/>
      <c r="D6" s="14"/>
      <c r="E6" s="12"/>
      <c r="F6" s="12"/>
      <c r="G6" s="12"/>
      <c r="H6" s="12"/>
      <c r="I6" s="13"/>
      <c r="K6" s="11"/>
      <c r="L6" s="12"/>
      <c r="M6" s="12"/>
      <c r="N6" s="14"/>
      <c r="O6" s="12"/>
      <c r="P6" s="12"/>
      <c r="Q6" s="12"/>
      <c r="R6" s="12"/>
      <c r="S6" s="13"/>
    </row>
    <row r="7" spans="1:20" x14ac:dyDescent="0.2">
      <c r="A7" s="15" t="s">
        <v>11</v>
      </c>
      <c r="B7" s="6" t="s">
        <v>12</v>
      </c>
      <c r="C7" s="6" t="s">
        <v>13</v>
      </c>
      <c r="D7" s="12"/>
      <c r="E7" s="12"/>
      <c r="F7" s="12"/>
      <c r="G7" s="12"/>
      <c r="H7" s="12"/>
      <c r="I7" s="13"/>
      <c r="K7" s="15" t="s">
        <v>11</v>
      </c>
      <c r="L7" s="6" t="s">
        <v>12</v>
      </c>
      <c r="M7" s="6" t="s">
        <v>13</v>
      </c>
      <c r="N7" s="12"/>
      <c r="O7" s="12"/>
      <c r="P7" s="12"/>
      <c r="Q7" s="12"/>
      <c r="R7" s="12"/>
      <c r="S7" s="13"/>
    </row>
    <row r="8" spans="1:20" x14ac:dyDescent="0.2">
      <c r="A8" s="16">
        <v>0</v>
      </c>
      <c r="B8" s="7">
        <v>3.1895799999999999</v>
      </c>
      <c r="C8" s="7">
        <v>1.9079600000000001</v>
      </c>
      <c r="D8" s="12"/>
      <c r="E8" s="12"/>
      <c r="F8" s="12"/>
      <c r="G8" s="12"/>
      <c r="H8" s="12"/>
      <c r="I8" s="13"/>
      <c r="K8" s="20">
        <v>0</v>
      </c>
      <c r="L8" s="5">
        <v>11.54238</v>
      </c>
      <c r="M8" s="5">
        <v>2.8438699999999999</v>
      </c>
      <c r="N8" s="12"/>
      <c r="O8" s="12"/>
      <c r="P8" s="12"/>
      <c r="Q8" s="12"/>
      <c r="R8" s="12"/>
      <c r="S8" s="13"/>
    </row>
    <row r="9" spans="1:20" x14ac:dyDescent="0.2">
      <c r="A9" s="16">
        <v>0</v>
      </c>
      <c r="B9" s="7">
        <v>3.1895799999999999</v>
      </c>
      <c r="C9" s="7">
        <v>1.9079600000000001</v>
      </c>
      <c r="D9" s="12"/>
      <c r="E9" s="12"/>
      <c r="F9" s="12"/>
      <c r="G9" s="12"/>
      <c r="H9" s="12"/>
      <c r="I9" s="13"/>
      <c r="K9" s="20">
        <v>0</v>
      </c>
      <c r="L9" s="5">
        <v>11.54238</v>
      </c>
      <c r="M9" s="5">
        <v>2.8438699999999999</v>
      </c>
      <c r="N9" s="12"/>
      <c r="O9" s="12"/>
      <c r="P9" s="12"/>
      <c r="Q9" s="12"/>
      <c r="R9" s="12"/>
      <c r="S9" s="13"/>
    </row>
    <row r="10" spans="1:20" x14ac:dyDescent="0.2">
      <c r="A10" s="16">
        <v>0.1</v>
      </c>
      <c r="B10" s="7">
        <v>3.1982200000000001</v>
      </c>
      <c r="C10" s="7">
        <v>1.91168</v>
      </c>
      <c r="D10" s="12"/>
      <c r="E10" s="12"/>
      <c r="F10" s="12"/>
      <c r="G10" s="12"/>
      <c r="H10" s="12"/>
      <c r="I10" s="13"/>
      <c r="K10" s="20">
        <v>0</v>
      </c>
      <c r="L10" s="5">
        <v>11.54238</v>
      </c>
      <c r="M10" s="5">
        <v>2.8438699999999999</v>
      </c>
      <c r="N10" s="12"/>
      <c r="O10" s="12"/>
      <c r="P10" s="12"/>
      <c r="Q10" s="12"/>
      <c r="R10" s="12"/>
      <c r="S10" s="13"/>
    </row>
    <row r="11" spans="1:20" x14ac:dyDescent="0.2">
      <c r="A11" s="16">
        <v>0.2</v>
      </c>
      <c r="B11" s="7">
        <v>3.2240099999999998</v>
      </c>
      <c r="C11" s="7">
        <v>1.9228099999999999</v>
      </c>
      <c r="D11" s="12"/>
      <c r="E11" s="12"/>
      <c r="F11" s="12"/>
      <c r="G11" s="12"/>
      <c r="H11" s="12"/>
      <c r="I11" s="13"/>
      <c r="K11" s="20">
        <v>9.5750000000000002E-2</v>
      </c>
      <c r="L11" s="5">
        <v>11.54255</v>
      </c>
      <c r="M11" s="5">
        <v>2.8449</v>
      </c>
      <c r="N11" s="12"/>
      <c r="O11" s="12"/>
      <c r="P11" s="12"/>
      <c r="Q11" s="12"/>
      <c r="R11" s="12"/>
      <c r="S11" s="13"/>
    </row>
    <row r="12" spans="1:20" x14ac:dyDescent="0.2">
      <c r="A12" s="16">
        <v>0.3</v>
      </c>
      <c r="B12" s="7">
        <v>3.26654</v>
      </c>
      <c r="C12" s="7">
        <v>1.9412100000000001</v>
      </c>
      <c r="D12" s="12"/>
      <c r="E12" s="12"/>
      <c r="F12" s="12"/>
      <c r="G12" s="12"/>
      <c r="H12" s="12"/>
      <c r="I12" s="13"/>
      <c r="K12" s="20">
        <v>0.1915</v>
      </c>
      <c r="L12" s="5">
        <v>11.543049999999999</v>
      </c>
      <c r="M12" s="5">
        <v>2.8479899999999998</v>
      </c>
      <c r="N12" s="12"/>
      <c r="O12" s="12"/>
      <c r="P12" s="12"/>
      <c r="Q12" s="12"/>
      <c r="R12" s="12"/>
      <c r="S12" s="13"/>
    </row>
    <row r="13" spans="1:20" x14ac:dyDescent="0.2">
      <c r="A13" s="16">
        <v>0.4</v>
      </c>
      <c r="B13" s="7">
        <v>3.32517</v>
      </c>
      <c r="C13" s="7">
        <v>1.96669</v>
      </c>
      <c r="D13" s="12"/>
      <c r="E13" s="12"/>
      <c r="F13" s="12"/>
      <c r="G13" s="12"/>
      <c r="H13" s="12"/>
      <c r="I13" s="13"/>
      <c r="K13" s="20">
        <v>0.28725000000000001</v>
      </c>
      <c r="L13" s="5">
        <v>11.543889999999999</v>
      </c>
      <c r="M13" s="5">
        <v>2.8531399999999998</v>
      </c>
      <c r="N13" s="12"/>
      <c r="O13" s="12"/>
      <c r="P13" s="12"/>
      <c r="Q13" s="12"/>
      <c r="R13" s="12"/>
      <c r="S13" s="13"/>
    </row>
    <row r="14" spans="1:20" x14ac:dyDescent="0.2">
      <c r="A14" s="16">
        <v>0.5</v>
      </c>
      <c r="B14" s="7">
        <v>3.39906</v>
      </c>
      <c r="C14" s="7">
        <v>1.9989600000000001</v>
      </c>
      <c r="D14" s="12"/>
      <c r="E14" s="12"/>
      <c r="F14" s="12"/>
      <c r="G14" s="12"/>
      <c r="H14" s="12"/>
      <c r="I14" s="13"/>
      <c r="K14" s="20">
        <v>0.38300000000000001</v>
      </c>
      <c r="L14" s="5">
        <v>11.545059999999999</v>
      </c>
      <c r="M14" s="5">
        <v>2.8603299999999998</v>
      </c>
      <c r="N14" s="12"/>
      <c r="O14" s="12"/>
      <c r="P14" s="12"/>
      <c r="Q14" s="12"/>
      <c r="R14" s="12"/>
      <c r="S14" s="13"/>
    </row>
    <row r="15" spans="1:20" x14ac:dyDescent="0.2">
      <c r="A15" s="16">
        <v>0.6</v>
      </c>
      <c r="B15" s="7">
        <v>3.48725</v>
      </c>
      <c r="C15" s="7">
        <v>2.0377200000000002</v>
      </c>
      <c r="D15" s="12"/>
      <c r="E15" s="12"/>
      <c r="F15" s="12"/>
      <c r="G15" s="12"/>
      <c r="H15" s="12"/>
      <c r="I15" s="13"/>
      <c r="K15" s="20">
        <v>0.47875000000000001</v>
      </c>
      <c r="L15" s="5">
        <v>11.546569999999999</v>
      </c>
      <c r="M15" s="5">
        <v>2.8695499999999998</v>
      </c>
      <c r="N15" s="12"/>
      <c r="O15" s="12"/>
      <c r="P15" s="12"/>
      <c r="Q15" s="12"/>
      <c r="R15" s="12"/>
      <c r="S15" s="13"/>
    </row>
    <row r="16" spans="1:20" x14ac:dyDescent="0.2">
      <c r="A16" s="16">
        <v>0.7</v>
      </c>
      <c r="B16" s="7">
        <v>3.5886800000000001</v>
      </c>
      <c r="C16" s="7">
        <v>2.0825900000000002</v>
      </c>
      <c r="D16" s="12"/>
      <c r="E16" s="12"/>
      <c r="F16" s="12"/>
      <c r="G16" s="12"/>
      <c r="H16" s="12"/>
      <c r="I16" s="13"/>
      <c r="K16" s="20">
        <v>0.57450000000000001</v>
      </c>
      <c r="L16" s="5">
        <v>11.548410000000001</v>
      </c>
      <c r="M16" s="5">
        <v>2.8807800000000001</v>
      </c>
      <c r="N16" s="12"/>
      <c r="O16" s="12"/>
      <c r="P16" s="12"/>
      <c r="Q16" s="12"/>
      <c r="R16" s="12"/>
      <c r="S16" s="13"/>
    </row>
    <row r="17" spans="1:19" x14ac:dyDescent="0.2">
      <c r="A17" s="16">
        <v>0.8</v>
      </c>
      <c r="B17" s="7">
        <v>3.7022699999999999</v>
      </c>
      <c r="C17" s="7">
        <v>2.1331899999999999</v>
      </c>
      <c r="D17" s="12"/>
      <c r="E17" s="12"/>
      <c r="F17" s="12"/>
      <c r="G17" s="12"/>
      <c r="H17" s="12"/>
      <c r="I17" s="13"/>
      <c r="K17" s="20">
        <v>0.67025000000000001</v>
      </c>
      <c r="L17" s="5">
        <v>11.55059</v>
      </c>
      <c r="M17" s="5">
        <v>2.8939900000000001</v>
      </c>
      <c r="N17" s="12"/>
      <c r="O17" s="12"/>
      <c r="P17" s="12"/>
      <c r="Q17" s="12"/>
      <c r="R17" s="12"/>
      <c r="S17" s="13"/>
    </row>
    <row r="18" spans="1:19" x14ac:dyDescent="0.2">
      <c r="A18" s="16">
        <v>0.9</v>
      </c>
      <c r="B18" s="7">
        <v>3.8269199999999999</v>
      </c>
      <c r="C18" s="7">
        <v>2.18913</v>
      </c>
      <c r="D18" s="12"/>
      <c r="E18" s="12"/>
      <c r="F18" s="12"/>
      <c r="G18" s="12"/>
      <c r="H18" s="12"/>
      <c r="I18" s="13"/>
      <c r="K18" s="20">
        <v>0.76600000000000001</v>
      </c>
      <c r="L18" s="5">
        <v>11.553089999999999</v>
      </c>
      <c r="M18" s="5">
        <v>2.90916</v>
      </c>
      <c r="N18" s="12"/>
      <c r="O18" s="12"/>
      <c r="P18" s="12"/>
      <c r="Q18" s="12"/>
      <c r="R18" s="12"/>
      <c r="S18" s="13"/>
    </row>
    <row r="19" spans="1:19" x14ac:dyDescent="0.2">
      <c r="A19" s="16">
        <v>1</v>
      </c>
      <c r="B19" s="7">
        <v>3.9615999999999998</v>
      </c>
      <c r="C19" s="7">
        <v>2.25</v>
      </c>
      <c r="D19" s="12"/>
      <c r="E19" s="12"/>
      <c r="F19" s="12"/>
      <c r="G19" s="12"/>
      <c r="H19" s="12"/>
      <c r="I19" s="13"/>
      <c r="K19" s="20">
        <v>0.86175000000000002</v>
      </c>
      <c r="L19" s="5">
        <v>11.55594</v>
      </c>
      <c r="M19" s="5">
        <v>2.92625</v>
      </c>
      <c r="N19" s="12"/>
      <c r="O19" s="12"/>
      <c r="P19" s="12"/>
      <c r="Q19" s="12"/>
      <c r="R19" s="12"/>
      <c r="S19" s="13"/>
    </row>
    <row r="20" spans="1:19" x14ac:dyDescent="0.2">
      <c r="A20" s="16">
        <v>1</v>
      </c>
      <c r="B20" s="7">
        <v>3.9615999999999998</v>
      </c>
      <c r="C20" s="7">
        <v>2.25</v>
      </c>
      <c r="D20" s="12"/>
      <c r="E20" s="12"/>
      <c r="F20" s="12"/>
      <c r="G20" s="12"/>
      <c r="H20" s="12"/>
      <c r="I20" s="13"/>
      <c r="K20" s="20">
        <v>0.95750000000000002</v>
      </c>
      <c r="L20" s="5">
        <v>11.55912</v>
      </c>
      <c r="M20" s="5">
        <v>2.9452500000000001</v>
      </c>
      <c r="N20" s="12"/>
      <c r="O20" s="12"/>
      <c r="P20" s="12"/>
      <c r="Q20" s="12"/>
      <c r="R20" s="12"/>
      <c r="S20" s="13"/>
    </row>
    <row r="21" spans="1:19" x14ac:dyDescent="0.2">
      <c r="A21" s="16">
        <v>1.1000000000000001</v>
      </c>
      <c r="B21" s="7">
        <v>4.1053199999999999</v>
      </c>
      <c r="C21" s="7">
        <v>2.31542</v>
      </c>
      <c r="D21" s="12"/>
      <c r="E21" s="12"/>
      <c r="F21" s="12"/>
      <c r="G21" s="12"/>
      <c r="H21" s="12"/>
      <c r="I21" s="13"/>
      <c r="K21" s="20">
        <v>1.05325</v>
      </c>
      <c r="L21" s="5">
        <v>11.56263</v>
      </c>
      <c r="M21" s="5">
        <v>2.9661</v>
      </c>
      <c r="N21" s="12"/>
      <c r="O21" s="12"/>
      <c r="P21" s="12"/>
      <c r="Q21" s="12"/>
      <c r="R21" s="12"/>
      <c r="S21" s="13"/>
    </row>
    <row r="22" spans="1:19" x14ac:dyDescent="0.2">
      <c r="A22" s="16">
        <v>1.2</v>
      </c>
      <c r="B22" s="7">
        <v>4.2571700000000003</v>
      </c>
      <c r="C22" s="7">
        <v>2.3850099999999999</v>
      </c>
      <c r="D22" s="12"/>
      <c r="E22" s="12"/>
      <c r="F22" s="12"/>
      <c r="G22" s="12"/>
      <c r="H22" s="12"/>
      <c r="I22" s="13"/>
      <c r="K22" s="20">
        <v>1.149</v>
      </c>
      <c r="L22" s="5">
        <v>11.566470000000001</v>
      </c>
      <c r="M22" s="5">
        <v>2.9887600000000001</v>
      </c>
      <c r="N22" s="12"/>
      <c r="O22" s="12"/>
      <c r="P22" s="12"/>
      <c r="Q22" s="12"/>
      <c r="R22" s="12"/>
      <c r="S22" s="13"/>
    </row>
    <row r="23" spans="1:19" x14ac:dyDescent="0.2">
      <c r="A23" s="16">
        <v>1.3</v>
      </c>
      <c r="B23" s="7">
        <v>4.4162999999999997</v>
      </c>
      <c r="C23" s="7">
        <v>2.4584199999999998</v>
      </c>
      <c r="D23" s="12"/>
      <c r="E23" s="12"/>
      <c r="F23" s="12"/>
      <c r="G23" s="12"/>
      <c r="H23" s="12"/>
      <c r="I23" s="13"/>
      <c r="K23" s="20">
        <v>1.24475</v>
      </c>
      <c r="L23" s="5">
        <v>11.570650000000001</v>
      </c>
      <c r="M23" s="5">
        <v>3.0132099999999999</v>
      </c>
      <c r="N23" s="12"/>
      <c r="O23" s="12"/>
      <c r="P23" s="12"/>
      <c r="Q23" s="12"/>
      <c r="R23" s="12"/>
      <c r="S23" s="13"/>
    </row>
    <row r="24" spans="1:19" x14ac:dyDescent="0.2">
      <c r="A24" s="16">
        <v>1.4</v>
      </c>
      <c r="B24" s="7">
        <v>4.5819599999999996</v>
      </c>
      <c r="C24" s="7">
        <v>2.53531</v>
      </c>
      <c r="D24" s="12"/>
      <c r="E24" s="12"/>
      <c r="F24" s="12"/>
      <c r="G24" s="12"/>
      <c r="H24" s="12"/>
      <c r="I24" s="13"/>
      <c r="K24" s="20">
        <v>1.3405</v>
      </c>
      <c r="L24" s="5">
        <v>11.575150000000001</v>
      </c>
      <c r="M24" s="5">
        <v>3.03939</v>
      </c>
      <c r="N24" s="12"/>
      <c r="O24" s="12"/>
      <c r="P24" s="12"/>
      <c r="Q24" s="12"/>
      <c r="R24" s="12"/>
      <c r="S24" s="13"/>
    </row>
    <row r="25" spans="1:19" x14ac:dyDescent="0.2">
      <c r="A25" s="16">
        <v>1.5</v>
      </c>
      <c r="B25" s="7">
        <v>4.7534599999999996</v>
      </c>
      <c r="C25" s="7">
        <v>2.6153900000000001</v>
      </c>
      <c r="D25" s="12"/>
      <c r="E25" s="12"/>
      <c r="F25" s="12"/>
      <c r="G25" s="12"/>
      <c r="H25" s="12"/>
      <c r="I25" s="13"/>
      <c r="K25" s="20">
        <v>1.43625</v>
      </c>
      <c r="L25" s="5">
        <v>11.57999</v>
      </c>
      <c r="M25" s="5">
        <v>3.0672600000000001</v>
      </c>
      <c r="N25" s="12"/>
      <c r="O25" s="12"/>
      <c r="P25" s="12"/>
      <c r="Q25" s="12"/>
      <c r="R25" s="12"/>
      <c r="S25" s="13"/>
    </row>
    <row r="26" spans="1:19" x14ac:dyDescent="0.2">
      <c r="A26" s="16">
        <v>1.5989</v>
      </c>
      <c r="B26" s="7">
        <v>4.9282300000000001</v>
      </c>
      <c r="C26" s="7">
        <v>2.6974300000000002</v>
      </c>
      <c r="D26" s="12"/>
      <c r="E26" s="12"/>
      <c r="F26" s="12"/>
      <c r="G26" s="12"/>
      <c r="H26" s="12"/>
      <c r="I26" s="13"/>
      <c r="K26" s="20">
        <v>1.532</v>
      </c>
      <c r="L26" s="5">
        <v>11.58517</v>
      </c>
      <c r="M26" s="5">
        <v>3.0967799999999999</v>
      </c>
      <c r="N26" s="12"/>
      <c r="O26" s="12"/>
      <c r="P26" s="12"/>
      <c r="Q26" s="12"/>
      <c r="R26" s="12"/>
      <c r="S26" s="13"/>
    </row>
    <row r="27" spans="1:19" x14ac:dyDescent="0.2">
      <c r="A27" s="16">
        <v>1.6978</v>
      </c>
      <c r="B27" s="7">
        <v>5.1075900000000001</v>
      </c>
      <c r="C27" s="7">
        <v>2.7820499999999999</v>
      </c>
      <c r="D27" s="12"/>
      <c r="E27" s="12"/>
      <c r="F27" s="12"/>
      <c r="G27" s="12"/>
      <c r="H27" s="12"/>
      <c r="I27" s="13"/>
      <c r="K27" s="20">
        <v>1.62775</v>
      </c>
      <c r="L27" s="5">
        <v>11.590669999999999</v>
      </c>
      <c r="M27" s="5">
        <v>3.1278899999999998</v>
      </c>
      <c r="N27" s="12"/>
      <c r="O27" s="12"/>
      <c r="P27" s="12"/>
      <c r="Q27" s="12"/>
      <c r="R27" s="12"/>
      <c r="S27" s="13"/>
    </row>
    <row r="28" spans="1:19" x14ac:dyDescent="0.2">
      <c r="A28" s="16">
        <v>1.7967</v>
      </c>
      <c r="B28" s="7">
        <v>5.29108</v>
      </c>
      <c r="C28" s="7">
        <v>2.86903</v>
      </c>
      <c r="D28" s="12"/>
      <c r="E28" s="12"/>
      <c r="F28" s="12"/>
      <c r="G28" s="12"/>
      <c r="H28" s="12"/>
      <c r="I28" s="13"/>
      <c r="K28" s="20">
        <v>1.7235</v>
      </c>
      <c r="L28" s="5">
        <v>11.596500000000001</v>
      </c>
      <c r="M28" s="5">
        <v>3.1605500000000002</v>
      </c>
      <c r="N28" s="12"/>
      <c r="O28" s="12"/>
      <c r="P28" s="12"/>
      <c r="Q28" s="12"/>
      <c r="R28" s="12"/>
      <c r="S28" s="13"/>
    </row>
    <row r="29" spans="1:19" x14ac:dyDescent="0.2">
      <c r="A29" s="16">
        <v>1.8956</v>
      </c>
      <c r="B29" s="7">
        <v>5.4782799999999998</v>
      </c>
      <c r="C29" s="7">
        <v>2.9581499999999998</v>
      </c>
      <c r="D29" s="12"/>
      <c r="E29" s="12"/>
      <c r="F29" s="12"/>
      <c r="G29" s="12"/>
      <c r="H29" s="12"/>
      <c r="I29" s="13"/>
      <c r="K29" s="20">
        <v>1.81925</v>
      </c>
      <c r="L29" s="5">
        <v>11.60267</v>
      </c>
      <c r="M29" s="5">
        <v>3.1947199999999998</v>
      </c>
      <c r="N29" s="12"/>
      <c r="O29" s="12"/>
      <c r="P29" s="12"/>
      <c r="Q29" s="12"/>
      <c r="R29" s="12"/>
      <c r="S29" s="13"/>
    </row>
    <row r="30" spans="1:19" x14ac:dyDescent="0.2">
      <c r="A30" s="16">
        <v>1.9944999999999999</v>
      </c>
      <c r="B30" s="7">
        <v>5.6688299999999998</v>
      </c>
      <c r="C30" s="7">
        <v>3.0492400000000002</v>
      </c>
      <c r="D30" s="12"/>
      <c r="E30" s="12"/>
      <c r="F30" s="12"/>
      <c r="G30" s="12"/>
      <c r="H30" s="12"/>
      <c r="I30" s="13"/>
      <c r="K30" s="20">
        <v>1.915</v>
      </c>
      <c r="L30" s="5">
        <v>11.609159999999999</v>
      </c>
      <c r="M30" s="5">
        <v>3.2303500000000001</v>
      </c>
      <c r="N30" s="12"/>
      <c r="O30" s="12"/>
      <c r="P30" s="12"/>
      <c r="Q30" s="12"/>
      <c r="R30" s="12"/>
      <c r="S30" s="13"/>
    </row>
    <row r="31" spans="1:19" x14ac:dyDescent="0.2">
      <c r="A31" s="16">
        <v>2.0933999999999999</v>
      </c>
      <c r="B31" s="7">
        <v>5.8624000000000001</v>
      </c>
      <c r="C31" s="7">
        <v>3.1421100000000002</v>
      </c>
      <c r="D31" s="12"/>
      <c r="E31" s="12"/>
      <c r="F31" s="12"/>
      <c r="G31" s="12"/>
      <c r="H31" s="12"/>
      <c r="I31" s="13"/>
      <c r="K31" s="20">
        <v>2.0150000000000001</v>
      </c>
      <c r="L31" s="5">
        <v>11.616300000000001</v>
      </c>
      <c r="M31" s="5">
        <v>3.26905</v>
      </c>
      <c r="N31" s="12"/>
      <c r="O31" s="12"/>
      <c r="P31" s="12"/>
      <c r="Q31" s="12"/>
      <c r="R31" s="12"/>
      <c r="S31" s="13"/>
    </row>
    <row r="32" spans="1:19" x14ac:dyDescent="0.2">
      <c r="A32" s="16">
        <v>2.1922999999999999</v>
      </c>
      <c r="B32" s="7">
        <v>6.0586900000000004</v>
      </c>
      <c r="C32" s="7">
        <v>3.2366100000000002</v>
      </c>
      <c r="D32" s="12"/>
      <c r="E32" s="12"/>
      <c r="F32" s="12"/>
      <c r="G32" s="12"/>
      <c r="H32" s="12"/>
      <c r="I32" s="13"/>
      <c r="K32" s="20">
        <v>2.1150000000000002</v>
      </c>
      <c r="L32" s="5">
        <v>11.62379</v>
      </c>
      <c r="M32" s="5">
        <v>3.30924</v>
      </c>
      <c r="N32" s="12"/>
      <c r="O32" s="12"/>
      <c r="P32" s="12"/>
      <c r="Q32" s="12"/>
      <c r="R32" s="12"/>
      <c r="S32" s="13"/>
    </row>
    <row r="33" spans="1:19" x14ac:dyDescent="0.2">
      <c r="A33" s="16">
        <v>2.2911999999999999</v>
      </c>
      <c r="B33" s="7">
        <v>6.25746</v>
      </c>
      <c r="C33" s="7">
        <v>3.3326099999999999</v>
      </c>
      <c r="D33" s="12"/>
      <c r="E33" s="12"/>
      <c r="F33" s="12"/>
      <c r="G33" s="12"/>
      <c r="H33" s="12"/>
      <c r="I33" s="13"/>
      <c r="K33" s="20">
        <v>2.2149999999999999</v>
      </c>
      <c r="L33" s="5">
        <v>11.631640000000001</v>
      </c>
      <c r="M33" s="5">
        <v>3.3508599999999999</v>
      </c>
      <c r="N33" s="12"/>
      <c r="O33" s="12"/>
      <c r="P33" s="12"/>
      <c r="Q33" s="12"/>
      <c r="R33" s="12"/>
      <c r="S33" s="13"/>
    </row>
    <row r="34" spans="1:19" x14ac:dyDescent="0.2">
      <c r="A34" s="16">
        <v>2.3900999999999999</v>
      </c>
      <c r="B34" s="7">
        <v>6.4584700000000002</v>
      </c>
      <c r="C34" s="7">
        <v>3.42997</v>
      </c>
      <c r="D34" s="12"/>
      <c r="E34" s="12"/>
      <c r="F34" s="12"/>
      <c r="G34" s="12"/>
      <c r="H34" s="12"/>
      <c r="I34" s="13"/>
      <c r="K34" s="20">
        <v>2.3149999999999999</v>
      </c>
      <c r="L34" s="5">
        <v>11.639849999999999</v>
      </c>
      <c r="M34" s="5">
        <v>3.3938600000000001</v>
      </c>
      <c r="N34" s="12"/>
      <c r="O34" s="12"/>
      <c r="P34" s="12"/>
      <c r="Q34" s="12"/>
      <c r="R34" s="12"/>
      <c r="S34" s="13"/>
    </row>
    <row r="35" spans="1:19" x14ac:dyDescent="0.2">
      <c r="A35" s="16">
        <v>2.4889999999999999</v>
      </c>
      <c r="B35" s="7">
        <v>6.66153</v>
      </c>
      <c r="C35" s="7">
        <v>3.5285899999999999</v>
      </c>
      <c r="D35" s="12"/>
      <c r="E35" s="12"/>
      <c r="F35" s="12"/>
      <c r="G35" s="12"/>
      <c r="H35" s="12"/>
      <c r="I35" s="13"/>
      <c r="K35" s="20">
        <v>2.375</v>
      </c>
      <c r="L35" s="5">
        <v>11.64494</v>
      </c>
      <c r="M35" s="5">
        <v>3.4202900000000001</v>
      </c>
      <c r="N35" s="12"/>
      <c r="O35" s="12"/>
      <c r="P35" s="12"/>
      <c r="Q35" s="12"/>
      <c r="R35" s="12"/>
      <c r="S35" s="13"/>
    </row>
    <row r="36" spans="1:19" x14ac:dyDescent="0.2">
      <c r="A36" s="16">
        <v>2.5878999999999999</v>
      </c>
      <c r="B36" s="7">
        <v>6.8664399999999999</v>
      </c>
      <c r="C36" s="7">
        <v>3.6283699999999999</v>
      </c>
      <c r="D36" s="12"/>
      <c r="E36" s="12"/>
      <c r="F36" s="12"/>
      <c r="G36" s="12"/>
      <c r="H36" s="12"/>
      <c r="I36" s="13"/>
      <c r="K36" s="20">
        <v>2.375</v>
      </c>
      <c r="L36" s="5">
        <v>11.64494</v>
      </c>
      <c r="M36" s="5">
        <v>3.4202900000000001</v>
      </c>
      <c r="N36" s="12"/>
      <c r="O36" s="12"/>
      <c r="P36" s="12"/>
      <c r="Q36" s="12"/>
      <c r="R36" s="12"/>
      <c r="S36" s="13"/>
    </row>
    <row r="37" spans="1:19" x14ac:dyDescent="0.2">
      <c r="A37" s="16">
        <v>2.6879</v>
      </c>
      <c r="B37" s="7">
        <v>7.0753599999999999</v>
      </c>
      <c r="C37" s="7">
        <v>3.7303299999999999</v>
      </c>
      <c r="D37" s="12"/>
      <c r="E37" s="12"/>
      <c r="F37" s="12"/>
      <c r="G37" s="12"/>
      <c r="H37" s="12"/>
      <c r="I37" s="13"/>
      <c r="K37" s="20">
        <v>2.4750000000000001</v>
      </c>
      <c r="L37" s="5">
        <v>11.65372</v>
      </c>
      <c r="M37" s="5">
        <v>3.4653800000000001</v>
      </c>
      <c r="N37" s="12"/>
      <c r="O37" s="12"/>
      <c r="P37" s="12"/>
      <c r="Q37" s="12"/>
      <c r="R37" s="12"/>
      <c r="S37" s="13"/>
    </row>
    <row r="38" spans="1:19" x14ac:dyDescent="0.2">
      <c r="A38" s="16">
        <v>2.7879</v>
      </c>
      <c r="B38" s="7">
        <v>7.2858700000000001</v>
      </c>
      <c r="C38" s="7">
        <v>3.8332999999999999</v>
      </c>
      <c r="D38" s="12"/>
      <c r="E38" s="12"/>
      <c r="F38" s="12"/>
      <c r="G38" s="12"/>
      <c r="H38" s="12"/>
      <c r="I38" s="13"/>
      <c r="K38" s="20">
        <v>2.4750000000000001</v>
      </c>
      <c r="L38" s="5">
        <v>11.65372</v>
      </c>
      <c r="M38" s="5">
        <v>3.4653800000000001</v>
      </c>
      <c r="N38" s="12"/>
      <c r="O38" s="12"/>
      <c r="P38" s="12"/>
      <c r="Q38" s="12"/>
      <c r="R38" s="12"/>
      <c r="S38" s="13"/>
    </row>
    <row r="39" spans="1:19" x14ac:dyDescent="0.2">
      <c r="A39" s="16">
        <v>2.8879000000000001</v>
      </c>
      <c r="B39" s="7">
        <v>7.4978199999999999</v>
      </c>
      <c r="C39" s="7">
        <v>3.9371800000000001</v>
      </c>
      <c r="D39" s="12"/>
      <c r="E39" s="12"/>
      <c r="F39" s="12"/>
      <c r="G39" s="12"/>
      <c r="H39" s="12"/>
      <c r="I39" s="13"/>
      <c r="K39" s="20">
        <v>2.5750000000000002</v>
      </c>
      <c r="L39" s="5">
        <v>11.662850000000001</v>
      </c>
      <c r="M39" s="5">
        <v>3.51172</v>
      </c>
      <c r="N39" s="12"/>
      <c r="O39" s="12"/>
      <c r="P39" s="12"/>
      <c r="Q39" s="12"/>
      <c r="R39" s="12"/>
      <c r="S39" s="13"/>
    </row>
    <row r="40" spans="1:19" x14ac:dyDescent="0.2">
      <c r="A40" s="16">
        <v>2.9878999999999998</v>
      </c>
      <c r="B40" s="7">
        <v>7.7111200000000002</v>
      </c>
      <c r="C40" s="7">
        <v>4.0419099999999997</v>
      </c>
      <c r="D40" s="12"/>
      <c r="E40" s="12"/>
      <c r="F40" s="12"/>
      <c r="G40" s="12"/>
      <c r="H40" s="12"/>
      <c r="I40" s="13"/>
      <c r="K40" s="20">
        <v>2.665</v>
      </c>
      <c r="L40" s="5">
        <v>11.67137</v>
      </c>
      <c r="M40" s="5">
        <v>3.55444</v>
      </c>
      <c r="N40" s="12"/>
      <c r="O40" s="12"/>
      <c r="P40" s="12"/>
      <c r="Q40" s="12"/>
      <c r="R40" s="12"/>
      <c r="S40" s="13"/>
    </row>
    <row r="41" spans="1:19" x14ac:dyDescent="0.2">
      <c r="A41" s="11"/>
      <c r="B41" s="12"/>
      <c r="C41" s="12"/>
      <c r="D41" s="12"/>
      <c r="E41" s="12"/>
      <c r="F41" s="12"/>
      <c r="G41" s="12"/>
      <c r="H41" s="12"/>
      <c r="I41" s="13"/>
      <c r="K41" s="20">
        <v>2.7549999999999999</v>
      </c>
      <c r="L41" s="5">
        <v>11.68017</v>
      </c>
      <c r="M41" s="5">
        <v>3.5981000000000001</v>
      </c>
      <c r="N41" s="12"/>
      <c r="O41" s="12"/>
      <c r="P41" s="12"/>
      <c r="Q41" s="12"/>
      <c r="R41" s="12"/>
      <c r="S41" s="13"/>
    </row>
    <row r="42" spans="1:19" x14ac:dyDescent="0.2">
      <c r="A42" s="11"/>
      <c r="B42" s="12"/>
      <c r="C42" s="12"/>
      <c r="D42" s="12"/>
      <c r="E42" s="12"/>
      <c r="F42" s="12"/>
      <c r="G42" s="12"/>
      <c r="H42" s="12"/>
      <c r="I42" s="13"/>
      <c r="K42" s="20">
        <v>2.8450000000000002</v>
      </c>
      <c r="L42" s="5">
        <v>11.68927</v>
      </c>
      <c r="M42" s="5">
        <v>3.6426500000000002</v>
      </c>
      <c r="N42" s="12"/>
      <c r="O42" s="12"/>
      <c r="P42" s="12"/>
      <c r="Q42" s="12"/>
      <c r="R42" s="12"/>
      <c r="S42" s="13"/>
    </row>
    <row r="43" spans="1:19" x14ac:dyDescent="0.2">
      <c r="A43" s="11"/>
      <c r="B43" s="12"/>
      <c r="C43" s="12"/>
      <c r="D43" s="12"/>
      <c r="E43" s="12"/>
      <c r="F43" s="12"/>
      <c r="G43" s="12"/>
      <c r="H43" s="12"/>
      <c r="I43" s="13"/>
      <c r="K43" s="20">
        <v>2.9350000000000001</v>
      </c>
      <c r="L43" s="5">
        <v>11.698639999999999</v>
      </c>
      <c r="M43" s="5">
        <v>3.6880799999999998</v>
      </c>
      <c r="N43" s="12"/>
      <c r="O43" s="12"/>
      <c r="P43" s="12"/>
      <c r="Q43" s="12"/>
      <c r="R43" s="12"/>
      <c r="S43" s="13"/>
    </row>
    <row r="44" spans="1:19" ht="13.5" thickBot="1" x14ac:dyDescent="0.25">
      <c r="A44" s="17"/>
      <c r="B44" s="18"/>
      <c r="C44" s="18"/>
      <c r="D44" s="18"/>
      <c r="E44" s="18"/>
      <c r="F44" s="18"/>
      <c r="G44" s="18"/>
      <c r="H44" s="18"/>
      <c r="I44" s="19"/>
      <c r="K44" s="17"/>
      <c r="L44" s="18"/>
      <c r="M44" s="18"/>
      <c r="N44" s="18"/>
      <c r="O44" s="18"/>
      <c r="P44" s="18"/>
      <c r="Q44" s="18"/>
      <c r="R44" s="18"/>
      <c r="S44" s="19"/>
    </row>
  </sheetData>
  <mergeCells count="8">
    <mergeCell ref="E3:F3"/>
    <mergeCell ref="E4:F4"/>
    <mergeCell ref="E5:F5"/>
    <mergeCell ref="A1:I1"/>
    <mergeCell ref="K1:S1"/>
    <mergeCell ref="O3:P3"/>
    <mergeCell ref="O4:P4"/>
    <mergeCell ref="O5:P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0"/>
  <sheetViews>
    <sheetView tabSelected="1" workbookViewId="0">
      <selection activeCell="B18" sqref="B18"/>
    </sheetView>
  </sheetViews>
  <sheetFormatPr defaultRowHeight="12.75" x14ac:dyDescent="0.2"/>
  <cols>
    <col min="1" max="1" width="45" customWidth="1"/>
    <col min="2" max="2" width="50.140625" customWidth="1"/>
    <col min="3" max="3" width="11.140625" customWidth="1"/>
    <col min="4" max="4" width="25.5703125" customWidth="1"/>
    <col min="5" max="5" width="9" customWidth="1"/>
    <col min="6" max="7" width="9.5703125" customWidth="1"/>
    <col min="8" max="8" width="12" customWidth="1"/>
    <col min="9" max="9" width="12.42578125" customWidth="1"/>
    <col min="10" max="10" width="11.85546875" customWidth="1"/>
    <col min="11" max="11" width="8" customWidth="1"/>
    <col min="16" max="16" width="11.5703125" customWidth="1"/>
    <col min="17" max="17" width="13.7109375" customWidth="1"/>
    <col min="19" max="19" width="10.5703125" bestFit="1" customWidth="1"/>
  </cols>
  <sheetData>
    <row r="1" spans="1:26" ht="21" customHeight="1" thickBot="1" x14ac:dyDescent="0.35">
      <c r="A1" s="68" t="s">
        <v>6</v>
      </c>
      <c r="B1" s="69"/>
      <c r="D1" s="60" t="s">
        <v>62</v>
      </c>
      <c r="F1" s="70" t="s">
        <v>39</v>
      </c>
      <c r="G1" s="71"/>
      <c r="H1" s="71"/>
      <c r="I1" s="71"/>
      <c r="J1" s="72"/>
      <c r="L1" s="70" t="s">
        <v>51</v>
      </c>
      <c r="M1" s="71"/>
      <c r="N1" s="71"/>
      <c r="O1" s="71"/>
      <c r="P1" s="71"/>
      <c r="Q1" s="72"/>
      <c r="R1" s="21"/>
      <c r="X1" s="21"/>
      <c r="Y1" s="21"/>
      <c r="Z1" s="21"/>
    </row>
    <row r="2" spans="1:26" ht="15.75" customHeight="1" thickBot="1" x14ac:dyDescent="0.25">
      <c r="A2" s="47"/>
      <c r="B2" s="48"/>
      <c r="D2" s="52" t="s">
        <v>61</v>
      </c>
      <c r="F2" s="40"/>
      <c r="G2" s="73" t="s">
        <v>81</v>
      </c>
      <c r="H2" s="73"/>
      <c r="I2" s="73" t="str">
        <f>CONCATENATE(G2, " Scaled")</f>
        <v>Block Shape Scaled</v>
      </c>
      <c r="J2" s="74"/>
      <c r="L2" s="44" t="s">
        <v>25</v>
      </c>
      <c r="M2" s="45" t="s">
        <v>26</v>
      </c>
      <c r="N2" s="45" t="s">
        <v>36</v>
      </c>
      <c r="O2" s="45" t="s">
        <v>25</v>
      </c>
      <c r="P2" s="45" t="s">
        <v>42</v>
      </c>
      <c r="Q2" s="46" t="s">
        <v>38</v>
      </c>
    </row>
    <row r="3" spans="1:26" ht="15" thickBot="1" x14ac:dyDescent="0.25">
      <c r="A3" s="33" t="s">
        <v>40</v>
      </c>
      <c r="B3" s="13"/>
      <c r="D3" s="53" t="s">
        <v>18</v>
      </c>
      <c r="F3" s="49" t="s">
        <v>43</v>
      </c>
      <c r="G3" s="41" t="s">
        <v>25</v>
      </c>
      <c r="H3" s="41" t="s">
        <v>26</v>
      </c>
      <c r="I3" s="42" t="s">
        <v>25</v>
      </c>
      <c r="J3" s="43" t="s">
        <v>26</v>
      </c>
      <c r="K3" s="1"/>
      <c r="L3" s="11">
        <f>B7/2*-1</f>
        <v>-3.5</v>
      </c>
      <c r="M3" s="12">
        <f>B6/2*-1</f>
        <v>-2.0449999999999999</v>
      </c>
      <c r="N3" s="12">
        <f>B7/2</f>
        <v>3.5</v>
      </c>
      <c r="O3" s="12">
        <f>N3*-1</f>
        <v>-3.5</v>
      </c>
      <c r="P3" s="12">
        <f>SQRT((1-(O3)^2/$N$3^2)*$N$5^2)</f>
        <v>0</v>
      </c>
      <c r="Q3" s="13">
        <f t="shared" ref="Q3:Q24" si="0">-SQRT((1-(O3)^2/$N$3^2)*$N$5^2)</f>
        <v>0</v>
      </c>
    </row>
    <row r="4" spans="1:26" ht="15" x14ac:dyDescent="0.25">
      <c r="A4" s="24" t="s">
        <v>21</v>
      </c>
      <c r="B4" s="34" t="s">
        <v>18</v>
      </c>
      <c r="D4" s="53" t="s">
        <v>19</v>
      </c>
      <c r="F4" s="11">
        <v>1</v>
      </c>
      <c r="G4">
        <v>5.25</v>
      </c>
      <c r="H4">
        <v>0</v>
      </c>
      <c r="I4" s="12">
        <f t="shared" ref="I4:I11" si="1">G4*$F$4</f>
        <v>5.25</v>
      </c>
      <c r="J4" s="13">
        <f t="shared" ref="J4:J11" si="2">H4*$F$4</f>
        <v>0</v>
      </c>
      <c r="K4" s="3"/>
      <c r="L4" s="11">
        <f>B7/2</f>
        <v>3.5</v>
      </c>
      <c r="M4" s="12">
        <f>B6/2*-1</f>
        <v>-2.0449999999999999</v>
      </c>
      <c r="N4" s="14" t="s">
        <v>37</v>
      </c>
      <c r="O4" s="12">
        <f t="shared" ref="O4:O24" si="3">O3+$N$3*2/21</f>
        <v>-3.1666666666666665</v>
      </c>
      <c r="P4" s="12">
        <f t="shared" ref="P4:P24" si="4">SQRT((1-(O4)^2/$N$3^2)*$N$5^2)</f>
        <v>0.87100171694991813</v>
      </c>
      <c r="Q4" s="13">
        <f t="shared" si="0"/>
        <v>-0.87100171694991813</v>
      </c>
    </row>
    <row r="5" spans="1:26" ht="14.25" x14ac:dyDescent="0.2">
      <c r="A5" s="24" t="s">
        <v>20</v>
      </c>
      <c r="B5" s="13"/>
      <c r="D5" s="53"/>
      <c r="F5" s="11"/>
      <c r="G5">
        <v>22.5</v>
      </c>
      <c r="H5">
        <v>19.3</v>
      </c>
      <c r="I5" s="12">
        <f t="shared" si="1"/>
        <v>22.5</v>
      </c>
      <c r="J5" s="13">
        <f t="shared" si="2"/>
        <v>19.3</v>
      </c>
      <c r="K5" s="3"/>
      <c r="L5" s="11">
        <f>B7/2</f>
        <v>3.5</v>
      </c>
      <c r="M5" s="12">
        <f>B6/2</f>
        <v>2.0449999999999999</v>
      </c>
      <c r="N5" s="12">
        <f>B6/2</f>
        <v>2.0449999999999999</v>
      </c>
      <c r="O5" s="12">
        <f t="shared" si="3"/>
        <v>-2.833333333333333</v>
      </c>
      <c r="P5" s="12">
        <f t="shared" si="4"/>
        <v>1.200593012959196</v>
      </c>
      <c r="Q5" s="13">
        <f t="shared" si="0"/>
        <v>-1.200593012959196</v>
      </c>
    </row>
    <row r="6" spans="1:26" ht="15" x14ac:dyDescent="0.25">
      <c r="A6" s="57" t="s">
        <v>23</v>
      </c>
      <c r="B6" s="35">
        <f>IF(B4=D3,ROUNDUP((-0.045*(B14/2/1000)^3+0.3642*(B14/2/1000)^2+0.0265*(B14/2/1000)+1.9042)*2,2),ROUNDUP((-0.008*(B14/2/1000)^3 + 0.1233*(B14/2/1000)^2 - 0.0051*(B14/2/1000) + 2.8442)*2,2))</f>
        <v>4.09</v>
      </c>
      <c r="D6" s="52" t="s">
        <v>60</v>
      </c>
      <c r="F6" s="11"/>
      <c r="G6">
        <v>22.5</v>
      </c>
      <c r="H6">
        <v>29.2</v>
      </c>
      <c r="I6" s="12">
        <f t="shared" si="1"/>
        <v>22.5</v>
      </c>
      <c r="J6" s="13">
        <f t="shared" si="2"/>
        <v>29.2</v>
      </c>
      <c r="K6" s="3"/>
      <c r="L6" s="11">
        <f>B7/2*-1</f>
        <v>-3.5</v>
      </c>
      <c r="M6" s="12">
        <f>B6/2</f>
        <v>2.0449999999999999</v>
      </c>
      <c r="N6" s="12"/>
      <c r="O6" s="12">
        <f t="shared" si="3"/>
        <v>-2.4999999999999996</v>
      </c>
      <c r="P6" s="12">
        <f t="shared" si="4"/>
        <v>1.4312018639975999</v>
      </c>
      <c r="Q6" s="13">
        <f t="shared" si="0"/>
        <v>-1.4312018639975999</v>
      </c>
    </row>
    <row r="7" spans="1:26" ht="15" x14ac:dyDescent="0.25">
      <c r="A7" s="57" t="s">
        <v>24</v>
      </c>
      <c r="B7" s="35">
        <f>IF(B4=D3,ROUNDUP((-0.1034*(B14/2/1000)^3+0.7783*(B14/2/1000)^2+0.109*(B14/2/1000)+3.1763)*2,2),ROUNDUP((-0.00008*(B14/2/1000)^3 + 0.0184*(B14/2/1000)^2 - 0.00008*(B14/2/1000) + 11.542)*2,2))</f>
        <v>7</v>
      </c>
      <c r="D7" s="53" t="s">
        <v>55</v>
      </c>
      <c r="E7" s="1"/>
      <c r="F7" s="11"/>
      <c r="G7">
        <v>17.8</v>
      </c>
      <c r="H7">
        <v>33.200000000000003</v>
      </c>
      <c r="I7" s="12">
        <f t="shared" si="1"/>
        <v>17.8</v>
      </c>
      <c r="J7" s="13">
        <f t="shared" si="2"/>
        <v>33.200000000000003</v>
      </c>
      <c r="K7" s="1"/>
      <c r="L7" s="11">
        <f>B7/2*-1</f>
        <v>-3.5</v>
      </c>
      <c r="M7" s="12">
        <f>B6/2*-1</f>
        <v>-2.0449999999999999</v>
      </c>
      <c r="N7" s="12"/>
      <c r="O7" s="12">
        <f t="shared" si="3"/>
        <v>-2.1666666666666661</v>
      </c>
      <c r="P7" s="12">
        <f>SQRT((1-(O7)^2/$N$3^2)*$N$5^2)</f>
        <v>1.6060478103596412</v>
      </c>
      <c r="Q7" s="13">
        <f t="shared" si="0"/>
        <v>-1.6060478103596412</v>
      </c>
    </row>
    <row r="8" spans="1:26" x14ac:dyDescent="0.2">
      <c r="A8" s="11"/>
      <c r="B8" s="13"/>
      <c r="D8" s="53" t="s">
        <v>56</v>
      </c>
      <c r="E8" s="3"/>
      <c r="F8" s="11"/>
      <c r="G8">
        <v>17.8</v>
      </c>
      <c r="H8">
        <v>38.4</v>
      </c>
      <c r="I8" s="12">
        <f t="shared" si="1"/>
        <v>17.8</v>
      </c>
      <c r="J8" s="13">
        <f t="shared" si="2"/>
        <v>38.4</v>
      </c>
      <c r="K8" s="3"/>
      <c r="L8" s="11"/>
      <c r="M8" s="12"/>
      <c r="N8" s="12"/>
      <c r="O8" s="12">
        <f t="shared" si="3"/>
        <v>-1.8333333333333328</v>
      </c>
      <c r="P8" s="12">
        <f t="shared" si="4"/>
        <v>1.7420034338998363</v>
      </c>
      <c r="Q8" s="13">
        <f t="shared" si="0"/>
        <v>-1.7420034338998363</v>
      </c>
    </row>
    <row r="9" spans="1:26" ht="14.25" x14ac:dyDescent="0.2">
      <c r="A9" s="33" t="s">
        <v>41</v>
      </c>
      <c r="B9" s="13"/>
      <c r="D9" s="54"/>
      <c r="E9" s="3"/>
      <c r="F9" s="11"/>
      <c r="G9">
        <v>22.5</v>
      </c>
      <c r="H9">
        <v>42.4</v>
      </c>
      <c r="I9" s="12">
        <f t="shared" si="1"/>
        <v>22.5</v>
      </c>
      <c r="J9" s="13">
        <f t="shared" si="2"/>
        <v>42.4</v>
      </c>
      <c r="K9" s="3"/>
      <c r="L9" s="28" t="s">
        <v>4</v>
      </c>
      <c r="M9" s="27" t="s">
        <v>27</v>
      </c>
      <c r="N9" s="12"/>
      <c r="O9" s="12">
        <f t="shared" si="3"/>
        <v>-1.4999999999999996</v>
      </c>
      <c r="P9" s="12">
        <f t="shared" si="4"/>
        <v>1.8476736614412388</v>
      </c>
      <c r="Q9" s="13">
        <f t="shared" si="0"/>
        <v>-1.8476736614412388</v>
      </c>
    </row>
    <row r="10" spans="1:26" ht="15" x14ac:dyDescent="0.25">
      <c r="A10" s="24" t="s">
        <v>2</v>
      </c>
      <c r="B10" s="25">
        <v>52.5</v>
      </c>
      <c r="D10" s="52" t="s">
        <v>0</v>
      </c>
      <c r="E10" s="3"/>
      <c r="F10" s="11"/>
      <c r="G10">
        <v>22.5</v>
      </c>
      <c r="H10">
        <v>49</v>
      </c>
      <c r="I10" s="12">
        <f t="shared" si="1"/>
        <v>22.5</v>
      </c>
      <c r="J10" s="13">
        <f t="shared" si="2"/>
        <v>49</v>
      </c>
      <c r="K10" s="3"/>
      <c r="L10" s="11">
        <f>B12</f>
        <v>13.6</v>
      </c>
      <c r="M10" s="12">
        <f>5.5/7*B12</f>
        <v>10.685714285714285</v>
      </c>
      <c r="N10" s="12"/>
      <c r="O10" s="12">
        <f t="shared" si="3"/>
        <v>-1.1666666666666663</v>
      </c>
      <c r="P10" s="12">
        <f t="shared" si="4"/>
        <v>1.9280444900353195</v>
      </c>
      <c r="Q10" s="13">
        <f t="shared" si="0"/>
        <v>-1.9280444900353195</v>
      </c>
    </row>
    <row r="11" spans="1:26" ht="15" x14ac:dyDescent="0.25">
      <c r="A11" s="24" t="s">
        <v>3</v>
      </c>
      <c r="B11" s="25">
        <v>21</v>
      </c>
      <c r="D11" s="53" t="s">
        <v>47</v>
      </c>
      <c r="E11" s="1"/>
      <c r="F11" s="11"/>
      <c r="G11">
        <v>21.5</v>
      </c>
      <c r="H11">
        <v>50</v>
      </c>
      <c r="I11" s="23">
        <f t="shared" si="1"/>
        <v>21.5</v>
      </c>
      <c r="J11" s="50">
        <f t="shared" si="2"/>
        <v>50</v>
      </c>
      <c r="K11" s="3"/>
      <c r="L11" s="28" t="s">
        <v>28</v>
      </c>
      <c r="M11" s="27" t="s">
        <v>29</v>
      </c>
      <c r="N11" s="12"/>
      <c r="O11" s="12">
        <f t="shared" si="3"/>
        <v>-0.83333333333333304</v>
      </c>
      <c r="P11" s="12">
        <f t="shared" si="4"/>
        <v>1.9861895057709036</v>
      </c>
      <c r="Q11" s="13">
        <f t="shared" si="0"/>
        <v>-1.9861895057709036</v>
      </c>
    </row>
    <row r="12" spans="1:26" ht="15" x14ac:dyDescent="0.25">
      <c r="A12" s="24" t="s">
        <v>4</v>
      </c>
      <c r="B12" s="25">
        <v>13.6</v>
      </c>
      <c r="D12" s="53" t="s">
        <v>48</v>
      </c>
      <c r="E12" s="3"/>
      <c r="F12" s="11"/>
      <c r="G12">
        <f>-1*G11</f>
        <v>-21.5</v>
      </c>
      <c r="H12">
        <f>H11</f>
        <v>50</v>
      </c>
      <c r="I12" s="23">
        <f t="shared" ref="I12:I20" si="5">G12*$F$4</f>
        <v>-21.5</v>
      </c>
      <c r="J12" s="50">
        <f t="shared" ref="J12:J20" si="6">H12*$F$4</f>
        <v>50</v>
      </c>
      <c r="K12" s="3"/>
      <c r="L12" s="29">
        <f>(L10/2)*COS(RADIANS(-45))+(-M10/2)*SIN(RADIANS(-45))</f>
        <v>8.5862966286937912</v>
      </c>
      <c r="M12" s="30">
        <f>-(L10/2)*SIN(RADIANS(-45))+(-M10)/2*COS(RADIANS(-45))</f>
        <v>1.0303555954432544</v>
      </c>
      <c r="N12" s="12"/>
      <c r="O12" s="12">
        <f t="shared" si="3"/>
        <v>-0.49999999999999972</v>
      </c>
      <c r="P12" s="12">
        <f t="shared" si="4"/>
        <v>2.0240250865590594</v>
      </c>
      <c r="Q12" s="13">
        <f t="shared" si="0"/>
        <v>-2.0240250865590594</v>
      </c>
    </row>
    <row r="13" spans="1:26" ht="15" x14ac:dyDescent="0.25">
      <c r="A13" s="24" t="s">
        <v>5</v>
      </c>
      <c r="B13" s="25">
        <v>0.125</v>
      </c>
      <c r="C13" s="4"/>
      <c r="D13" s="53" t="s">
        <v>49</v>
      </c>
      <c r="E13" s="3"/>
      <c r="F13" s="11"/>
      <c r="G13">
        <f>-1*G10</f>
        <v>-22.5</v>
      </c>
      <c r="H13">
        <f>H10</f>
        <v>49</v>
      </c>
      <c r="I13" s="23">
        <f t="shared" si="5"/>
        <v>-22.5</v>
      </c>
      <c r="J13" s="50">
        <f t="shared" si="6"/>
        <v>49</v>
      </c>
      <c r="L13" s="29">
        <f>(L10/2)*COS(RADIANS(-45))+(M10/2)*SIN(RADIANS(-45))</f>
        <v>1.0303555954432557</v>
      </c>
      <c r="M13" s="30">
        <f>-(L10/2)*SIN(RADIANS(-45))+(M10/2)*COS(RADIANS(-45))</f>
        <v>8.5862966286937912</v>
      </c>
      <c r="N13" s="12"/>
      <c r="O13" s="12">
        <f t="shared" si="3"/>
        <v>-0.16666666666666641</v>
      </c>
      <c r="P13" s="12">
        <f t="shared" si="4"/>
        <v>2.0426800900075808</v>
      </c>
      <c r="Q13" s="13">
        <f t="shared" si="0"/>
        <v>-2.0426800900075808</v>
      </c>
    </row>
    <row r="14" spans="1:26" ht="15" x14ac:dyDescent="0.25">
      <c r="A14" s="24" t="s">
        <v>52</v>
      </c>
      <c r="B14" s="35">
        <f>IF(B33="Yes",B11*B10 +B10/4+ 2*(B34+B35+B36+B37+B38+B39+B40+B41),B11*B10 - B13)</f>
        <v>1197.625</v>
      </c>
      <c r="D14" s="53" t="s">
        <v>50</v>
      </c>
      <c r="E14" s="3"/>
      <c r="F14" s="11"/>
      <c r="G14">
        <f>-1*G9</f>
        <v>-22.5</v>
      </c>
      <c r="H14">
        <f>H9</f>
        <v>42.4</v>
      </c>
      <c r="I14" s="23">
        <f t="shared" si="5"/>
        <v>-22.5</v>
      </c>
      <c r="J14" s="50">
        <f t="shared" si="6"/>
        <v>42.4</v>
      </c>
      <c r="K14" s="1"/>
      <c r="L14" s="31" t="s">
        <v>30</v>
      </c>
      <c r="M14" s="32" t="s">
        <v>31</v>
      </c>
      <c r="N14" s="12"/>
      <c r="O14" s="12">
        <f t="shared" si="3"/>
        <v>0.16666666666666691</v>
      </c>
      <c r="P14" s="12">
        <f t="shared" si="4"/>
        <v>2.0426800900075808</v>
      </c>
      <c r="Q14" s="13">
        <f t="shared" si="0"/>
        <v>-2.0426800900075808</v>
      </c>
    </row>
    <row r="15" spans="1:26" ht="14.25" x14ac:dyDescent="0.2">
      <c r="A15" s="24"/>
      <c r="B15" s="13"/>
      <c r="D15" s="53" t="s">
        <v>46</v>
      </c>
      <c r="E15" s="3"/>
      <c r="F15" s="11"/>
      <c r="G15">
        <f>-1*G8</f>
        <v>-17.8</v>
      </c>
      <c r="H15">
        <f>H8</f>
        <v>38.4</v>
      </c>
      <c r="I15" s="23">
        <f t="shared" si="5"/>
        <v>-17.8</v>
      </c>
      <c r="J15" s="50">
        <f t="shared" si="6"/>
        <v>38.4</v>
      </c>
      <c r="K15" s="3"/>
      <c r="L15" s="29">
        <f>(-L10/2)*COS(RADIANS(45))+(-M10/2)*SIN(RADIANS(45))</f>
        <v>-8.5862966286937912</v>
      </c>
      <c r="M15" s="30">
        <f>-(L10/2)*SIN(RADIANS(-45))+(-M10)/2*COS(RADIANS(-45))</f>
        <v>1.0303555954432544</v>
      </c>
      <c r="N15" s="12"/>
      <c r="O15" s="12">
        <f t="shared" si="3"/>
        <v>0.50000000000000022</v>
      </c>
      <c r="P15" s="12">
        <f t="shared" si="4"/>
        <v>2.0240250865590594</v>
      </c>
      <c r="Q15" s="13">
        <f t="shared" si="0"/>
        <v>-2.0240250865590594</v>
      </c>
    </row>
    <row r="16" spans="1:26" ht="15" x14ac:dyDescent="0.25">
      <c r="A16" s="33" t="s">
        <v>54</v>
      </c>
      <c r="B16" s="26"/>
      <c r="C16" s="4"/>
      <c r="D16" s="54"/>
      <c r="E16" s="3"/>
      <c r="F16" s="11"/>
      <c r="G16">
        <f>-1*G7</f>
        <v>-17.8</v>
      </c>
      <c r="H16">
        <f>H7</f>
        <v>33.200000000000003</v>
      </c>
      <c r="I16" s="23">
        <f t="shared" si="5"/>
        <v>-17.8</v>
      </c>
      <c r="J16" s="50">
        <f t="shared" si="6"/>
        <v>33.200000000000003</v>
      </c>
      <c r="L16" s="29">
        <f>(-L10/2)*COS(RADIANS(45))+(M10/2)*SIN(RADIANS(45))</f>
        <v>-1.0303555954432557</v>
      </c>
      <c r="M16" s="30">
        <f>-(L10/2)*SIN(RADIANS(-45))+(M10/2)*COS(RADIANS(-45))</f>
        <v>8.5862966286937912</v>
      </c>
      <c r="N16" s="12"/>
      <c r="O16" s="12">
        <f t="shared" si="3"/>
        <v>0.83333333333333348</v>
      </c>
      <c r="P16" s="12">
        <f t="shared" si="4"/>
        <v>1.9861895057709036</v>
      </c>
      <c r="Q16" s="13">
        <f t="shared" si="0"/>
        <v>-1.9861895057709036</v>
      </c>
    </row>
    <row r="17" spans="1:17" ht="15" x14ac:dyDescent="0.25">
      <c r="A17" s="58" t="s">
        <v>72</v>
      </c>
      <c r="B17" s="34" t="s">
        <v>56</v>
      </c>
      <c r="D17" s="52" t="s">
        <v>1</v>
      </c>
      <c r="F17" s="11"/>
      <c r="G17">
        <f>-1*G6</f>
        <v>-22.5</v>
      </c>
      <c r="H17">
        <f>H6</f>
        <v>29.2</v>
      </c>
      <c r="I17" s="23">
        <f t="shared" si="5"/>
        <v>-22.5</v>
      </c>
      <c r="J17" s="50">
        <f t="shared" si="6"/>
        <v>29.2</v>
      </c>
      <c r="L17" s="31" t="s">
        <v>32</v>
      </c>
      <c r="M17" s="32" t="s">
        <v>33</v>
      </c>
      <c r="N17" s="12"/>
      <c r="O17" s="12">
        <f t="shared" si="3"/>
        <v>1.1666666666666667</v>
      </c>
      <c r="P17" s="12">
        <f t="shared" si="4"/>
        <v>1.9280444900353193</v>
      </c>
      <c r="Q17" s="13">
        <f t="shared" si="0"/>
        <v>-1.9280444900353193</v>
      </c>
    </row>
    <row r="18" spans="1:17" ht="18" customHeight="1" x14ac:dyDescent="0.25">
      <c r="A18" s="51" t="s">
        <v>53</v>
      </c>
      <c r="B18" s="59" t="s">
        <v>84</v>
      </c>
      <c r="D18" s="53" t="s">
        <v>44</v>
      </c>
      <c r="E18" s="1"/>
      <c r="F18" s="11"/>
      <c r="G18">
        <f>-1*G5</f>
        <v>-22.5</v>
      </c>
      <c r="H18">
        <f>H5</f>
        <v>19.3</v>
      </c>
      <c r="I18" s="23">
        <f t="shared" si="5"/>
        <v>-22.5</v>
      </c>
      <c r="J18" s="50">
        <f t="shared" si="6"/>
        <v>19.3</v>
      </c>
      <c r="L18" s="29">
        <f>(L10/2)*COS(RADIANS(45))+(-M10/2)*SIN(RADIANS(45))</f>
        <v>1.0303555954432557</v>
      </c>
      <c r="M18" s="30">
        <f>-(L10/2)*SIN(RADIANS(45))+(-M10)/2*COS(RADIANS(45))</f>
        <v>-8.5862966286937912</v>
      </c>
      <c r="N18" s="12"/>
      <c r="O18" s="12">
        <f t="shared" si="3"/>
        <v>1.5</v>
      </c>
      <c r="P18" s="12">
        <f t="shared" si="4"/>
        <v>1.8476736614412386</v>
      </c>
      <c r="Q18" s="13">
        <f t="shared" si="0"/>
        <v>-1.8476736614412386</v>
      </c>
    </row>
    <row r="19" spans="1:17" x14ac:dyDescent="0.2">
      <c r="A19" s="11"/>
      <c r="B19" s="13"/>
      <c r="D19" s="53" t="s">
        <v>45</v>
      </c>
      <c r="E19" s="3"/>
      <c r="F19" s="11"/>
      <c r="G19">
        <f>-1*G4</f>
        <v>-5.25</v>
      </c>
      <c r="H19">
        <f>H4</f>
        <v>0</v>
      </c>
      <c r="I19" s="23">
        <f t="shared" si="5"/>
        <v>-5.25</v>
      </c>
      <c r="J19" s="50">
        <f t="shared" si="6"/>
        <v>0</v>
      </c>
      <c r="L19" s="29">
        <f>(L10/2)*COS(RADIANS(45))+(M10/2)*SIN(RADIANS(45))</f>
        <v>8.5862966286937912</v>
      </c>
      <c r="M19" s="30">
        <f>-(L10/2)*SIN(RADIANS(45))+(M10/2)*COS(RADIANS(45))</f>
        <v>-1.0303555954432544</v>
      </c>
      <c r="N19" s="12"/>
      <c r="O19" s="12">
        <f t="shared" si="3"/>
        <v>1.8333333333333333</v>
      </c>
      <c r="P19" s="12">
        <f t="shared" si="4"/>
        <v>1.742003433899836</v>
      </c>
      <c r="Q19" s="13">
        <f t="shared" si="0"/>
        <v>-1.742003433899836</v>
      </c>
    </row>
    <row r="20" spans="1:17" ht="15" x14ac:dyDescent="0.25">
      <c r="A20" s="33" t="s">
        <v>63</v>
      </c>
      <c r="B20" s="13"/>
      <c r="C20" s="2"/>
      <c r="D20" s="53" t="s">
        <v>10</v>
      </c>
      <c r="E20" s="3"/>
      <c r="F20" s="36"/>
      <c r="G20">
        <f>G4</f>
        <v>5.25</v>
      </c>
      <c r="H20">
        <f>H4</f>
        <v>0</v>
      </c>
      <c r="I20" s="23">
        <f t="shared" si="5"/>
        <v>5.25</v>
      </c>
      <c r="J20" s="50">
        <f t="shared" si="6"/>
        <v>0</v>
      </c>
      <c r="K20" s="3"/>
      <c r="L20" s="31" t="s">
        <v>34</v>
      </c>
      <c r="M20" s="32" t="s">
        <v>35</v>
      </c>
      <c r="N20" s="12"/>
      <c r="O20" s="12">
        <f t="shared" si="3"/>
        <v>2.1666666666666665</v>
      </c>
      <c r="P20" s="12">
        <f t="shared" si="4"/>
        <v>1.6060478103596412</v>
      </c>
      <c r="Q20" s="13">
        <f t="shared" si="0"/>
        <v>-1.6060478103596412</v>
      </c>
    </row>
    <row r="21" spans="1:17" ht="15" x14ac:dyDescent="0.25">
      <c r="A21" s="24" t="s">
        <v>7</v>
      </c>
      <c r="B21" s="34" t="s">
        <v>49</v>
      </c>
      <c r="C21" s="2"/>
      <c r="D21" s="53" t="s">
        <v>83</v>
      </c>
      <c r="F21" s="11"/>
      <c r="G21" s="12"/>
      <c r="H21" s="12"/>
      <c r="I21" s="12"/>
      <c r="J21" s="13"/>
      <c r="L21" s="29">
        <f>(-L10/2)*COS(RADIANS(45))+(-M10/2)*SIN(RADIANS(45))</f>
        <v>-8.5862966286937912</v>
      </c>
      <c r="M21" s="30">
        <f>-(L10/2)*SIN(RADIANS(45))+(M10/2)*COS(RADIANS(45))</f>
        <v>-1.0303555954432544</v>
      </c>
      <c r="N21" s="12"/>
      <c r="O21" s="12">
        <f t="shared" si="3"/>
        <v>2.5</v>
      </c>
      <c r="P21" s="12">
        <f t="shared" si="4"/>
        <v>1.4312018639975996</v>
      </c>
      <c r="Q21" s="13">
        <f t="shared" si="0"/>
        <v>-1.4312018639975996</v>
      </c>
    </row>
    <row r="22" spans="1:17" ht="15" x14ac:dyDescent="0.25">
      <c r="A22" s="24" t="s">
        <v>8</v>
      </c>
      <c r="B22" s="34" t="s">
        <v>83</v>
      </c>
      <c r="C22" s="2"/>
      <c r="D22" s="54"/>
      <c r="F22" s="11"/>
      <c r="G22" s="12"/>
      <c r="H22" s="12"/>
      <c r="I22" s="12"/>
      <c r="J22" s="13"/>
      <c r="L22" s="29">
        <f>(-L10/2)*COS(RADIANS(45))+(M10/2)*SIN(RADIANS(45))</f>
        <v>-1.0303555954432557</v>
      </c>
      <c r="M22" s="30">
        <f>-(L10/2)*SIN(RADIANS(45))+(-M10/2)*COS(RADIANS(45))</f>
        <v>-8.5862966286937912</v>
      </c>
      <c r="N22" s="12"/>
      <c r="O22" s="12">
        <f t="shared" si="3"/>
        <v>2.8333333333333335</v>
      </c>
      <c r="P22" s="12">
        <f t="shared" si="4"/>
        <v>1.2005930129591955</v>
      </c>
      <c r="Q22" s="13">
        <f t="shared" si="0"/>
        <v>-1.2005930129591955</v>
      </c>
    </row>
    <row r="23" spans="1:17" ht="15" x14ac:dyDescent="0.25">
      <c r="A23" s="24" t="s">
        <v>9</v>
      </c>
      <c r="B23" s="25">
        <v>5</v>
      </c>
      <c r="C23" s="2"/>
      <c r="D23" s="52" t="s">
        <v>57</v>
      </c>
      <c r="F23" s="11"/>
      <c r="G23" s="12"/>
      <c r="H23" s="12"/>
      <c r="I23" s="12"/>
      <c r="J23" s="13"/>
      <c r="L23" s="11"/>
      <c r="M23" s="12"/>
      <c r="N23" s="12"/>
      <c r="O23" s="12">
        <f t="shared" si="3"/>
        <v>3.166666666666667</v>
      </c>
      <c r="P23" s="12">
        <f t="shared" si="4"/>
        <v>0.87100171694991757</v>
      </c>
      <c r="Q23" s="13">
        <f t="shared" si="0"/>
        <v>-0.87100171694991757</v>
      </c>
    </row>
    <row r="24" spans="1:17" ht="15.75" thickBot="1" x14ac:dyDescent="0.3">
      <c r="A24" s="24" t="s">
        <v>70</v>
      </c>
      <c r="B24" s="25">
        <v>160</v>
      </c>
      <c r="C24" s="2"/>
      <c r="D24" s="53" t="s">
        <v>58</v>
      </c>
      <c r="F24" s="37"/>
      <c r="G24" s="38"/>
      <c r="H24" s="38"/>
      <c r="I24" s="38"/>
      <c r="J24" s="39"/>
      <c r="K24" s="3"/>
      <c r="L24" s="17"/>
      <c r="M24" s="18"/>
      <c r="N24" s="18"/>
      <c r="O24" s="18">
        <f t="shared" si="3"/>
        <v>3.5000000000000004</v>
      </c>
      <c r="P24" s="18" t="e">
        <f t="shared" si="4"/>
        <v>#NUM!</v>
      </c>
      <c r="Q24" s="19" t="e">
        <f t="shared" si="0"/>
        <v>#NUM!</v>
      </c>
    </row>
    <row r="25" spans="1:17" ht="15.75" thickBot="1" x14ac:dyDescent="0.3">
      <c r="A25" s="24" t="s">
        <v>69</v>
      </c>
      <c r="B25" s="25">
        <v>2000</v>
      </c>
      <c r="C25" s="2"/>
      <c r="D25" s="55" t="s">
        <v>59</v>
      </c>
    </row>
    <row r="26" spans="1:17" ht="15" x14ac:dyDescent="0.25">
      <c r="A26" s="24" t="s">
        <v>68</v>
      </c>
      <c r="B26" s="25">
        <v>15</v>
      </c>
      <c r="C26" s="2"/>
    </row>
    <row r="27" spans="1:17" ht="15" x14ac:dyDescent="0.25">
      <c r="A27" s="24" t="s">
        <v>67</v>
      </c>
      <c r="B27" s="25">
        <v>0.5</v>
      </c>
    </row>
    <row r="28" spans="1:17" ht="15" x14ac:dyDescent="0.25">
      <c r="A28" s="24" t="s">
        <v>66</v>
      </c>
      <c r="B28" s="25">
        <v>1500</v>
      </c>
      <c r="O28" s="4"/>
    </row>
    <row r="29" spans="1:17" ht="15" x14ac:dyDescent="0.25">
      <c r="A29" s="24" t="s">
        <v>65</v>
      </c>
      <c r="B29" s="25">
        <v>1</v>
      </c>
      <c r="O29" s="4"/>
    </row>
    <row r="30" spans="1:17" ht="15" x14ac:dyDescent="0.25">
      <c r="A30" s="24" t="s">
        <v>64</v>
      </c>
      <c r="B30" s="25">
        <v>2</v>
      </c>
    </row>
    <row r="31" spans="1:17" x14ac:dyDescent="0.2">
      <c r="A31" s="11"/>
      <c r="B31" s="13"/>
    </row>
    <row r="32" spans="1:17" ht="14.25" x14ac:dyDescent="0.2">
      <c r="A32" s="33" t="s">
        <v>82</v>
      </c>
      <c r="B32" s="13"/>
    </row>
    <row r="33" spans="1:2" ht="15" x14ac:dyDescent="0.25">
      <c r="A33" s="24" t="s">
        <v>71</v>
      </c>
      <c r="B33" s="34" t="s">
        <v>58</v>
      </c>
    </row>
    <row r="34" spans="1:2" ht="15" x14ac:dyDescent="0.25">
      <c r="A34" s="56" t="s">
        <v>73</v>
      </c>
      <c r="B34" s="25">
        <v>3.25</v>
      </c>
    </row>
    <row r="35" spans="1:2" ht="15" x14ac:dyDescent="0.25">
      <c r="A35" s="56" t="s">
        <v>74</v>
      </c>
      <c r="B35" s="25">
        <v>3.25</v>
      </c>
    </row>
    <row r="36" spans="1:2" ht="15" x14ac:dyDescent="0.25">
      <c r="A36" s="56" t="s">
        <v>75</v>
      </c>
      <c r="B36" s="25">
        <v>9.75</v>
      </c>
    </row>
    <row r="37" spans="1:2" ht="15" x14ac:dyDescent="0.25">
      <c r="A37" s="56" t="s">
        <v>76</v>
      </c>
      <c r="B37" s="25">
        <v>9.75</v>
      </c>
    </row>
    <row r="38" spans="1:2" ht="15" x14ac:dyDescent="0.25">
      <c r="A38" s="56" t="s">
        <v>77</v>
      </c>
      <c r="B38" s="25">
        <v>8.6999999999999993</v>
      </c>
    </row>
    <row r="39" spans="1:2" ht="15" x14ac:dyDescent="0.25">
      <c r="A39" s="56" t="s">
        <v>78</v>
      </c>
      <c r="B39" s="25">
        <v>2</v>
      </c>
    </row>
    <row r="40" spans="1:2" ht="15" x14ac:dyDescent="0.25">
      <c r="A40" s="56" t="s">
        <v>79</v>
      </c>
      <c r="B40" s="25">
        <v>3.3</v>
      </c>
    </row>
    <row r="41" spans="1:2" ht="15" x14ac:dyDescent="0.25">
      <c r="A41" s="56" t="s">
        <v>80</v>
      </c>
      <c r="B41" s="25">
        <v>1</v>
      </c>
    </row>
    <row r="42" spans="1:2" x14ac:dyDescent="0.2">
      <c r="A42" s="11"/>
      <c r="B42" s="13"/>
    </row>
    <row r="43" spans="1:2" x14ac:dyDescent="0.2">
      <c r="A43" s="11"/>
      <c r="B43" s="13"/>
    </row>
    <row r="44" spans="1:2" x14ac:dyDescent="0.2">
      <c r="A44" s="11"/>
      <c r="B44" s="13"/>
    </row>
    <row r="45" spans="1:2" x14ac:dyDescent="0.2">
      <c r="A45" s="11"/>
      <c r="B45" s="13"/>
    </row>
    <row r="46" spans="1:2" ht="13.5" thickBot="1" x14ac:dyDescent="0.25">
      <c r="A46" s="17"/>
      <c r="B46" s="19"/>
    </row>
    <row r="47" spans="1:2" x14ac:dyDescent="0.2">
      <c r="A47" s="4"/>
    </row>
    <row r="48" spans="1:2" x14ac:dyDescent="0.2">
      <c r="A48" s="4"/>
    </row>
    <row r="49" spans="1:19" x14ac:dyDescent="0.2">
      <c r="A49" s="4"/>
    </row>
    <row r="50" spans="1:19" x14ac:dyDescent="0.2">
      <c r="A50" s="4"/>
    </row>
    <row r="51" spans="1:19" x14ac:dyDescent="0.2">
      <c r="A51" s="4"/>
    </row>
    <row r="52" spans="1:19" x14ac:dyDescent="0.2">
      <c r="A52" s="4"/>
    </row>
    <row r="53" spans="1:19" x14ac:dyDescent="0.2">
      <c r="A53" s="4"/>
    </row>
    <row r="54" spans="1:19" x14ac:dyDescent="0.2">
      <c r="A54" s="4"/>
    </row>
    <row r="55" spans="1:19" x14ac:dyDescent="0.2">
      <c r="A55" s="4"/>
    </row>
    <row r="60" spans="1:19" x14ac:dyDescent="0.2">
      <c r="S60" s="22"/>
    </row>
  </sheetData>
  <mergeCells count="5">
    <mergeCell ref="A1:B1"/>
    <mergeCell ref="F1:J1"/>
    <mergeCell ref="G2:H2"/>
    <mergeCell ref="I2:J2"/>
    <mergeCell ref="L1:Q1"/>
  </mergeCells>
  <phoneticPr fontId="3" type="noConversion"/>
  <dataValidations count="5">
    <dataValidation type="list" allowBlank="1" showInputMessage="1" showErrorMessage="1" sqref="B4" xr:uid="{56BEB450-02DD-4DB9-9F8E-EECB8F3FBD54}">
      <formula1>$D$3:$D$4</formula1>
    </dataValidation>
    <dataValidation type="list" allowBlank="1" showInputMessage="1" showErrorMessage="1" sqref="B21" xr:uid="{00000000-0002-0000-0000-000000000000}">
      <formula1>$D$11:$D$15</formula1>
    </dataValidation>
    <dataValidation type="list" allowBlank="1" showInputMessage="1" showErrorMessage="1" sqref="B22" xr:uid="{00000000-0002-0000-0000-000001000000}">
      <formula1>$D$18:$D$21</formula1>
    </dataValidation>
    <dataValidation type="list" allowBlank="1" showInputMessage="1" showErrorMessage="1" sqref="B17" xr:uid="{104659CA-E074-43D2-B847-84C97BD860AB}">
      <formula1>$D$7:$D$8</formula1>
    </dataValidation>
    <dataValidation type="list" allowBlank="1" showInputMessage="1" showErrorMessage="1" sqref="B33" xr:uid="{C02CC479-306B-4612-B533-0F1A826E86C9}">
      <formula1>$D$24:$D$25</formula1>
    </dataValidation>
  </dataValidations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ão 1">
              <controlPr defaultSize="0" print="0" autoFill="0" autoPict="0" macro="[0]!ButtonClicked">
                <anchor moveWithCells="1">
                  <from>
                    <xdr:col>1</xdr:col>
                    <xdr:colOff>123825</xdr:colOff>
                    <xdr:row>42</xdr:row>
                    <xdr:rowOff>85725</xdr:rowOff>
                  </from>
                  <to>
                    <xdr:col>1</xdr:col>
                    <xdr:colOff>2543175</xdr:colOff>
                    <xdr:row>45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Beam Stay Clear</vt:lpstr>
      <vt:lpstr>Create Undulator Magnet</vt:lpstr>
    </vt:vector>
  </TitlesOfParts>
  <Company>Infolytica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Ashen</dc:creator>
  <cp:lastModifiedBy>Luana Nayara Pires Vilela</cp:lastModifiedBy>
  <dcterms:created xsi:type="dcterms:W3CDTF">2002-07-23T21:00:28Z</dcterms:created>
  <dcterms:modified xsi:type="dcterms:W3CDTF">2021-08-16T19:30:05Z</dcterms:modified>
</cp:coreProperties>
</file>